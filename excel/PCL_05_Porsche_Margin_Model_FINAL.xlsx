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sheet9.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3.xml.rels" ContentType="application/vnd.openxmlformats-package.relationships+xml"/>
  <Override PartName="/xl/drawings/drawing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README" sheetId="1" state="visible" r:id="rId3"/>
    <sheet name="Data_Panel" sheetId="2" state="visible" r:id="rId4"/>
    <sheet name="Data_Long" sheetId="3" state="visible" r:id="rId5"/>
    <sheet name="Data_Mix" sheetId="4" state="visible" r:id="rId6"/>
    <sheet name="SQL_Outputs" sheetId="5" state="visible" r:id="rId7"/>
    <sheet name="KPI_Overview" sheetId="6" state="visible" r:id="rId8"/>
    <sheet name="EBIT_Analysis" sheetId="7" state="visible" r:id="rId9"/>
    <sheet name="RD_DA" sheetId="8" state="visible" r:id="rId10"/>
    <sheet name="Commercial" sheetId="9" state="visible" r:id="rId11"/>
    <sheet name="Cash_Crosscheck" sheetId="10" state="visible" r:id="rId12"/>
    <sheet name="Guidance_Scenarios" sheetId="11" state="visible" r:id="rId13"/>
    <sheet name="Audit_Checks" sheetId="12" state="visible" r:id="rId14"/>
    <sheet name="Audit_Register" sheetId="13" state="visible" r:id="rId15"/>
  </sheets>
  <definedNames>
    <definedName function="false" hidden="true" localSheetId="2" name="_xlnm._FilterDatabase" vbProcedure="false">Data_Long!$A$5:$M$243</definedName>
    <definedName function="false" hidden="true" localSheetId="3" name="_xlnm._FilterDatabase" vbProcedure="false">Data_Mix!$A$5:$I$88</definedName>
  </definedNames>
  <calcPr calcId="191029" calcMode="auto" fullCalcOnLoad="1" forceFullCalc="1" iterate="false" refMode="A1"/>
  <extLst>
    <ext xmlns:loext="http://schemas.libreoffice.org/" uri="{7626C862-2A13-11E5-B345-FEFF819CDC9F}">
      <loext:extCalcPr stringRefSyntax="ExcelA1"/>
    </ext>
  </extLst>
</workbook>
</file>

<file path=xl/sharedStrings.xml><?xml version="1.0" encoding="utf-8"?>
<sst xmlns="http://schemas.openxmlformats.org/spreadsheetml/2006/main" count="4822" uniqueCount="1562">
  <si>
    <t xml:space="preserve">Porsche Company Lens - 2026 Margin Recovery: business-analysis workbook</t>
  </si>
  <si>
    <t xml:space="preserve">Phase 5 (Excel). Built from the validated PostgreSQL database porsche_lens (Phases 3-4). Prepared 2026-09-28.</t>
  </si>
  <si>
    <t xml:space="preserve">Question</t>
  </si>
  <si>
    <t xml:space="preserve">Porsche's reported margin rose from 5.5% to 7.8% in H1 2026. After removing the exceptional items Porsche itself discloses, and isolating non-cash effects from R&amp;D capitalisation and depreciation, is underlying profitability actually improving, and what does FY2026 guidance imply for H2 2026?</t>
  </si>
  <si>
    <t xml:space="preserve">Purpose</t>
  </si>
  <si>
    <t xml:space="preserve">A transparent, formula-driven model that a business team can audit: every number traces back to a Porsche document and page.</t>
  </si>
  <si>
    <t xml:space="preserve">Model status</t>
  </si>
  <si>
    <t xml:space="preserve">SHEET MAP</t>
  </si>
  <si>
    <t xml:space="preserve">What each sheet answers</t>
  </si>
  <si>
    <t xml:space="preserve">KPI_Overview</t>
  </si>
  <si>
    <t xml:space="preserve">What happened? Headline KPIs by half-year, H1 2025 vs H1 2026, formula-driven readings, two charts.</t>
  </si>
  <si>
    <t xml:space="preserve">EBIT_Analysis</t>
  </si>
  <si>
    <t xml:space="preserve">Is underlying profitability improving? Reported (L0) vs adjusted (L1, L2) EBIT and margin; own YoY bridge in EUR m and pp; reconciliation to Porsche's bridge. L3 in a grey supplementary box.</t>
  </si>
  <si>
    <t xml:space="preserve">RD_DA</t>
  </si>
  <si>
    <t xml:space="preserve">Are non-cash effects flattering EBIT? Total R&amp;D costs, capitalisation rate, P&amp;L charge, counterfactual; D&amp;A cleaned of impairments.</t>
  </si>
  <si>
    <t xml:space="preserve">Commercial</t>
  </si>
  <si>
    <t xml:space="preserve">Is value compensating for volume? ASP (Porsche definition), vehicle sales, volume vs ASP effect, model and regional mix.</t>
  </si>
  <si>
    <t xml:space="preserve">Cash_Crosscheck</t>
  </si>
  <si>
    <t xml:space="preserve">Does cash confirm the profit picture? EBIT/EBITDA vs net cash flow, published-margin reconciliation, simple cash proxy.</t>
  </si>
  <si>
    <t xml:space="preserve">Guidance_Scenarios</t>
  </si>
  <si>
    <t xml:space="preserve">What must H2 2026 look like to meet guidance? Scenario selector + all 27 combinations + automotive view. Scenarios, NOT forecasts.</t>
  </si>
  <si>
    <t xml:space="preserve">Audit_Checks</t>
  </si>
  <si>
    <t xml:space="preserve">Can the numbers be trusted? 50 formula checks: imports, lookup integrity (unique keys + panel round-trip), Excel vs SQL reconciliation, identities, Porsche reconciliation, labelling, and 8 anchor values displayed on KPI_Overview vs the SQL export.</t>
  </si>
  <si>
    <t xml:space="preserve">Audit_Register</t>
  </si>
  <si>
    <t xml:space="preserve">Where does it come from? Source register, assumptions A-01..A-09, known data gaps, audit findings, SQL view catalogue, SQL check results.</t>
  </si>
  <si>
    <t xml:space="preserve">Data_Panel</t>
  </si>
  <si>
    <t xml:space="preserve">Half-year panel (formula pivot of Data_Long) with a FACT/DERIVED label grid; derived cells shaded.</t>
  </si>
  <si>
    <t xml:space="preserve">Data_Long / Data_Mix</t>
  </si>
  <si>
    <t xml:space="preserve">Controlled imports from SQL (core.fact_financial, deliveries). The only place where Porsche values are typed in.</t>
  </si>
  <si>
    <t xml:space="preserve">SQL_Outputs</t>
  </si>
  <si>
    <t xml:space="preserve">Mart view results, used ONLY by Audit_Checks to prove that Excel and SQL agree.</t>
  </si>
  <si>
    <t xml:space="preserve">CONVENTIONS</t>
  </si>
  <si>
    <t xml:space="preserve">Colours</t>
  </si>
  <si>
    <t xml:space="preserve">Blue = imported or hard-coded input. Black = formula. Green = link to another sheet. Yellow fill = headline KPI. Grey fill = supplementary sensitivity. Orange band = scenario area.</t>
  </si>
  <si>
    <t xml:space="preserve">Units</t>
  </si>
  <si>
    <t xml:space="preserve">Money in EUR m. Margins stored as fractions and shown as %. 'pp' = percentage points. ASP in EUR k. Volumes in units.</t>
  </si>
  <si>
    <t xml:space="preserve">Signs</t>
  </si>
  <si>
    <t xml:space="preserve">Exceptional items and tariffs are positive numbers = expense; adding them back raises EBIT. Bridge effects: + = raises EBIT.</t>
  </si>
  <si>
    <t xml:space="preserve">Periods</t>
  </si>
  <si>
    <t xml:space="preserve">Half-years 2023-H1 .. 2026-H1. Porsche publishes H1 and FY; H2 = FY - H1 (DERIVED in SQL). Year-on-year always compares the same half of the prior year.</t>
  </si>
  <si>
    <t xml:space="preserve">FACT / DERIVED</t>
  </si>
  <si>
    <t xml:space="preserve">FACT = published by Porsche. DERIVED = calculated from published values (H2, identities, FY2025 one-off total). See Data_Panel label grid and Data_Long source_ref.</t>
  </si>
  <si>
    <t xml:space="preserve">PROFIT LEVELS</t>
  </si>
  <si>
    <t xml:space="preserve">L0 (headline)</t>
  </si>
  <si>
    <t xml:space="preserve">Reported group EBIT.</t>
  </si>
  <si>
    <t xml:space="preserve">L1 (headline)</t>
  </si>
  <si>
    <t xml:space="preserve">L0 + strategic realignment &amp; battery items as disclosed by Porsche (net of related provision releases).</t>
  </si>
  <si>
    <t xml:space="preserve">L2 (headline)</t>
  </si>
  <si>
    <t xml:space="preserve">L1 + US import tariffs.</t>
  </si>
  <si>
    <t xml:space="preserve">L3 (supplementary)</t>
  </si>
  <si>
    <t xml:space="preserve">Supplementary HYBRID SENSITIVITY only: L1 + clean automotive D&amp;A - automotive capitalised development costs. Not underlying group profitability; never used as headline KPI.</t>
  </si>
  <si>
    <t xml:space="preserve">Residual</t>
  </si>
  <si>
    <t xml:space="preserve">'Residual / other EBIT drivers' in the bridge is NOT operating performance: it mixes price, mix, volume, total R&amp;D cost changes, material/supplier costs, SG&amp;A, other operating result, FX, consolidation and one-off rounding.</t>
  </si>
  <si>
    <t xml:space="preserve">KEY ASSUMPTIONS</t>
  </si>
  <si>
    <t xml:space="preserve">Full register: Audit_Register section 2.</t>
  </si>
  <si>
    <t xml:space="preserve">A-01 / A-02</t>
  </si>
  <si>
    <t xml:space="preserve">No realignment items disclosed for 2023-2024 and no US tariffs before April 2025 -&gt; treated as 0.</t>
  </si>
  <si>
    <t xml:space="preserve">A-03 / A-04</t>
  </si>
  <si>
    <t xml:space="preserve">Undisclosed impairments (H2 2023, H2 2024) -&gt; 0; H1 2026 impairments (EUR 61m) assumed inside D&amp;A (alternative shown).</t>
  </si>
  <si>
    <t xml:space="preserve">A-05..A-08</t>
  </si>
  <si>
    <t xml:space="preserve">Guidance: automotive revenue share, extraordinary-expense basis, H2 tariffs = H1, range ends combined independently.</t>
  </si>
  <si>
    <t xml:space="preserve">A-09</t>
  </si>
  <si>
    <t xml:space="preserve">Derived H2 values inherit the EUR 0.1bn rounding of one-off disclosures (rounding band shown).</t>
  </si>
  <si>
    <t xml:space="preserve">LINEAGE</t>
  </si>
  <si>
    <t xml:space="preserve">Porsche documents (S001-S027) -&gt; PCL_02_Manual_Inputs.xlsx + fact sheet S025 -&gt; PostgreSQL core.fact_financial -&gt; mart views -&gt; Data_Long (this workbook) -&gt; analysis sheets. Refresh: re-export fact_long / mix / SQL outputs and replace the blue import rows; Audit_Checks must show ALL PASS.</t>
  </si>
  <si>
    <t xml:space="preserve">Not in scope</t>
  </si>
  <si>
    <t xml:space="preserve">No forecasts, no internal Porsche data, no estimates for missing values. Interpretation and recommendations follow in Phases 6-9.</t>
  </si>
  <si>
    <t xml:space="preserve">Data_Panel - half-year panel built by formula from Data_Long</t>
  </si>
  <si>
    <t xml:space="preserve">Each cell = two-criteria lookup on Data_Long: SUMIFS(value, period_code = column header, var_id = row id), guarded by COUNTIFS (0 matches -&gt; blank; Data_Long!K proves each pair is unique). Blank = not published. Shaded cells are DERIVED (H2 = FY - H1 or identity); label grid below states FACT / DERIVED per cell.</t>
  </si>
  <si>
    <t xml:space="preserve">Money in EUR m; % variables as published (e.g. 18.3 = 18.3%). Analysis sheets convert.</t>
  </si>
  <si>
    <t xml:space="preserve">var_id</t>
  </si>
  <si>
    <t xml:space="preserve">variable</t>
  </si>
  <si>
    <t xml:space="preserve">unit</t>
  </si>
  <si>
    <t xml:space="preserve">2023-H1</t>
  </si>
  <si>
    <t xml:space="preserve">2023-H2</t>
  </si>
  <si>
    <t xml:space="preserve">2024-H1</t>
  </si>
  <si>
    <t xml:space="preserve">2024-H2</t>
  </si>
  <si>
    <t xml:space="preserve">2025-H1</t>
  </si>
  <si>
    <t xml:space="preserve">2025-H2</t>
  </si>
  <si>
    <t xml:space="preserve">2026-H1</t>
  </si>
  <si>
    <t xml:space="preserve">sources used (from Data_Long)</t>
  </si>
  <si>
    <t xml:space="preserve">G01</t>
  </si>
  <si>
    <t xml:space="preserve">Group sales revenue</t>
  </si>
  <si>
    <t xml:space="preserve">EUR m</t>
  </si>
  <si>
    <t xml:space="preserve">S025, SQL derived</t>
  </si>
  <si>
    <t xml:space="preserve">G02</t>
  </si>
  <si>
    <t xml:space="preserve">Cost of sales</t>
  </si>
  <si>
    <t xml:space="preserve">G03</t>
  </si>
  <si>
    <t xml:space="preserve">Gross profit</t>
  </si>
  <si>
    <t xml:space="preserve">G04</t>
  </si>
  <si>
    <t xml:space="preserve">Distribution expenses</t>
  </si>
  <si>
    <t xml:space="preserve">G05</t>
  </si>
  <si>
    <t xml:space="preserve">Administrative expenses</t>
  </si>
  <si>
    <t xml:space="preserve">G06</t>
  </si>
  <si>
    <t xml:space="preserve">Net other operating result</t>
  </si>
  <si>
    <t xml:space="preserve">G07</t>
  </si>
  <si>
    <t xml:space="preserve">Operating profit (EBIT), group</t>
  </si>
  <si>
    <t xml:space="preserve">A01</t>
  </si>
  <si>
    <t xml:space="preserve">Automotive sales revenue</t>
  </si>
  <si>
    <t xml:space="preserve">S002, S006, S010, S017, SQL derived</t>
  </si>
  <si>
    <t xml:space="preserve">A02</t>
  </si>
  <si>
    <t xml:space="preserve">Automotive operating profit</t>
  </si>
  <si>
    <t xml:space="preserve">A03</t>
  </si>
  <si>
    <t xml:space="preserve">Automotive EBITDA</t>
  </si>
  <si>
    <t xml:space="preserve">A04</t>
  </si>
  <si>
    <t xml:space="preserve">Automotive EBITDA margin (published)</t>
  </si>
  <si>
    <t xml:space="preserve">%</t>
  </si>
  <si>
    <t xml:space="preserve">S002, S006, S010, S017</t>
  </si>
  <si>
    <t xml:space="preserve">A05</t>
  </si>
  <si>
    <t xml:space="preserve">Automotive R&amp;D costs (total)</t>
  </si>
  <si>
    <t xml:space="preserve">S002, S016, SQL derived</t>
  </si>
  <si>
    <t xml:space="preserve">A06</t>
  </si>
  <si>
    <t xml:space="preserve">Capitalised development costs</t>
  </si>
  <si>
    <t xml:space="preserve">A07</t>
  </si>
  <si>
    <t xml:space="preserve">Capitalisation rate (published)</t>
  </si>
  <si>
    <t xml:space="preserve">S002, S016</t>
  </si>
  <si>
    <t xml:space="preserve">A08</t>
  </si>
  <si>
    <t xml:space="preserve">Expensed R&amp;D</t>
  </si>
  <si>
    <t xml:space="preserve">S005, S016, SQL derived</t>
  </si>
  <si>
    <t xml:space="preserve">A09</t>
  </si>
  <si>
    <t xml:space="preserve">Amortisation of capitalised R&amp;D</t>
  </si>
  <si>
    <t xml:space="preserve">A10</t>
  </si>
  <si>
    <t xml:space="preserve">Automotive capex</t>
  </si>
  <si>
    <t xml:space="preserve">A11</t>
  </si>
  <si>
    <t xml:space="preserve">Depreciation on capex (incl. impairments)</t>
  </si>
  <si>
    <t xml:space="preserve">S016, SQL derived</t>
  </si>
  <si>
    <t xml:space="preserve">A12</t>
  </si>
  <si>
    <t xml:space="preserve">Automotive D&amp;A total (incl. impairments)</t>
  </si>
  <si>
    <t xml:space="preserve">A13a</t>
  </si>
  <si>
    <t xml:space="preserve">Automotive cash flow from operating activities</t>
  </si>
  <si>
    <t xml:space="preserve">A13b</t>
  </si>
  <si>
    <t xml:space="preserve">Automotive investing of current operations</t>
  </si>
  <si>
    <t xml:space="preserve">A13</t>
  </si>
  <si>
    <t xml:space="preserve">Automotive net cash flow</t>
  </si>
  <si>
    <t xml:space="preserve">A14</t>
  </si>
  <si>
    <t xml:space="preserve">Automotive net liquidity (period end)</t>
  </si>
  <si>
    <t xml:space="preserve">F01</t>
  </si>
  <si>
    <t xml:space="preserve">Financial Services sales revenue</t>
  </si>
  <si>
    <t xml:space="preserve">F02</t>
  </si>
  <si>
    <t xml:space="preserve">Financial Services operating profit</t>
  </si>
  <si>
    <t xml:space="preserve">X01</t>
  </si>
  <si>
    <t xml:space="preserve">Strategic realignment incl. battery (net charge)</t>
  </si>
  <si>
    <t xml:space="preserve">X02</t>
  </si>
  <si>
    <t xml:space="preserve">  of which battery activities (memo)</t>
  </si>
  <si>
    <t xml:space="preserve">S010, SQL derived</t>
  </si>
  <si>
    <t xml:space="preserve">X03</t>
  </si>
  <si>
    <t xml:space="preserve">US import tariffs (expense)</t>
  </si>
  <si>
    <t xml:space="preserve">S010, S016, SQL derived</t>
  </si>
  <si>
    <t xml:space="preserve">X04</t>
  </si>
  <si>
    <t xml:space="preserve">Provision release (benefit)</t>
  </si>
  <si>
    <t xml:space="preserve">S016</t>
  </si>
  <si>
    <t xml:space="preserve">X05</t>
  </si>
  <si>
    <t xml:space="preserve">Impairments inside automotive D&amp;A</t>
  </si>
  <si>
    <t xml:space="preserve">B01</t>
  </si>
  <si>
    <t xml:space="preserve">Porsche bridge: gross margin w/o R&amp;D (YoY)</t>
  </si>
  <si>
    <t xml:space="preserve">S005, S009, S016, SQL derived</t>
  </si>
  <si>
    <t xml:space="preserve">B02</t>
  </si>
  <si>
    <t xml:space="preserve">Porsche bridge: R&amp;D (YoY)</t>
  </si>
  <si>
    <t xml:space="preserve">B03</t>
  </si>
  <si>
    <t xml:space="preserve">Porsche bridge: SG&amp;A (YoY)</t>
  </si>
  <si>
    <t xml:space="preserve">B04</t>
  </si>
  <si>
    <t xml:space="preserve">Porsche bridge: Other (YoY)</t>
  </si>
  <si>
    <t xml:space="preserve">B05</t>
  </si>
  <si>
    <t xml:space="preserve">Porsche bridge: extraordinary (memo)</t>
  </si>
  <si>
    <t xml:space="preserve">S009, S016, SQL derived</t>
  </si>
  <si>
    <t xml:space="preserve">O01</t>
  </si>
  <si>
    <t xml:space="preserve">Deliveries (retail)</t>
  </si>
  <si>
    <t xml:space="preserve">units</t>
  </si>
  <si>
    <t xml:space="preserve">O04</t>
  </si>
  <si>
    <t xml:space="preserve">Vehicle sales (wholesale)</t>
  </si>
  <si>
    <t xml:space="preserve">O06</t>
  </si>
  <si>
    <t xml:space="preserve">ASP per vehicle sold (published)</t>
  </si>
  <si>
    <t xml:space="preserve">EUR k</t>
  </si>
  <si>
    <t xml:space="preserve">S005, S009, S016</t>
  </si>
  <si>
    <t xml:space="preserve">O07</t>
  </si>
  <si>
    <t xml:space="preserve">BEV share (published)</t>
  </si>
  <si>
    <t xml:space="preserve">S006, S010, S017</t>
  </si>
  <si>
    <t xml:space="preserve">Label grid: FACT = published by Porsche; DERIVED = calculated in SQL from published values (see Data_Long source_ref).</t>
  </si>
  <si>
    <t xml:space="preserve">Data_Long - controlled import of core.fact_financial (analysis window)</t>
  </si>
  <si>
    <t xml:space="preserve">Source: PostgreSQL porsche_lens, core.fact_financial filtered on dim_period.in_analysis_window (2023-H1..2026-H1). Blue = imported value (do not edit). K = rows with the same period_code + var_id (must be 1); L = value read back from Data_Panel; M = |L - D| (must be 0).</t>
  </si>
  <si>
    <t xml:space="preserve">Rows imported: 238   |   Export query: see 03_SQL/12_export_mart.sql conventions; re-import by replacing rows 6-243.</t>
  </si>
  <si>
    <t xml:space="preserve">period_code</t>
  </si>
  <si>
    <t xml:space="preserve">var_name</t>
  </si>
  <si>
    <t xml:space="preserve">value</t>
  </si>
  <si>
    <t xml:space="preserve">unit_std</t>
  </si>
  <si>
    <t xml:space="preserve">value_label</t>
  </si>
  <si>
    <t xml:space="preserve">origin</t>
  </si>
  <si>
    <t xml:space="preserve">source_id</t>
  </si>
  <si>
    <t xml:space="preserve">source_ref</t>
  </si>
  <si>
    <t xml:space="preserve">rounding</t>
  </si>
  <si>
    <t xml:space="preserve">dup_count</t>
  </si>
  <si>
    <t xml:space="preserve">panel_readback</t>
  </si>
  <si>
    <t xml:space="preserve">readback_diff</t>
  </si>
  <si>
    <t xml:space="preserve">FACT</t>
  </si>
  <si>
    <t xml:space="preserve">MANUAL</t>
  </si>
  <si>
    <t xml:space="preserve">S002</t>
  </si>
  <si>
    <t xml:space="preserve">9 (Automotive EBITDA margin table)</t>
  </si>
  <si>
    <t xml:space="preserve">EUR 1m</t>
  </si>
  <si>
    <t xml:space="preserve">Automotive EBITDA margin</t>
  </si>
  <si>
    <t xml:space="preserve">0.1pp</t>
  </si>
  <si>
    <t xml:space="preserve">29 (Note 3)</t>
  </si>
  <si>
    <t xml:space="preserve">Automotive capitalised development costs</t>
  </si>
  <si>
    <t xml:space="preserve">Capitalisation rate</t>
  </si>
  <si>
    <t xml:space="preserve">Expensed automotive R&amp;D</t>
  </si>
  <si>
    <t xml:space="preserve">S005</t>
  </si>
  <si>
    <t xml:space="preserve">28 (prior-year column)</t>
  </si>
  <si>
    <t xml:space="preserve">3 (key figures)</t>
  </si>
  <si>
    <t xml:space="preserve">Automotive depreciation on capex</t>
  </si>
  <si>
    <t xml:space="preserve">DERIVED</t>
  </si>
  <si>
    <t xml:space="preserve">SQL_DERIVED</t>
  </si>
  <si>
    <t xml:space="preserve">A12 - A09: S002 9 (Automotive EBITDA margin table) minus S002 29 (Note 3)</t>
  </si>
  <si>
    <t xml:space="preserve">derived from EUR 1m inputs</t>
  </si>
  <si>
    <t xml:space="preserve">Automotive total D&amp;A</t>
  </si>
  <si>
    <t xml:space="preserve">FACTSHEET</t>
  </si>
  <si>
    <t xml:space="preserve">S025</t>
  </si>
  <si>
    <t xml:space="preserve">02 - Automotive CF AA24</t>
  </si>
  <si>
    <t xml:space="preserve">exact (EUR, converted to EUR m)</t>
  </si>
  <si>
    <t xml:space="preserve">Automotive cash flows from operating activities</t>
  </si>
  <si>
    <t xml:space="preserve">02 - Automotive CF AA22</t>
  </si>
  <si>
    <t xml:space="preserve">Automotive investing activities of current operations</t>
  </si>
  <si>
    <t xml:space="preserve">02 - Automotive CF AA23</t>
  </si>
  <si>
    <t xml:space="preserve">Automotive net liquidity</t>
  </si>
  <si>
    <t xml:space="preserve">02 - Automotive CF AA25</t>
  </si>
  <si>
    <t xml:space="preserve">38 (segment reporting)</t>
  </si>
  <si>
    <t xml:space="preserve">01 - Group EBIT AM29</t>
  </si>
  <si>
    <t xml:space="preserve">01 - Group EBIT AM30</t>
  </si>
  <si>
    <t xml:space="preserve">01 - Group EBIT AM31</t>
  </si>
  <si>
    <t xml:space="preserve">01 - Group EBIT AM32</t>
  </si>
  <si>
    <t xml:space="preserve">01 - Group EBIT AM33</t>
  </si>
  <si>
    <t xml:space="preserve">01 - Group EBIT AM34</t>
  </si>
  <si>
    <t xml:space="preserve">Operating profit (EBIT)</t>
  </si>
  <si>
    <t xml:space="preserve">01 - Group EBIT AM35</t>
  </si>
  <si>
    <t xml:space="preserve">G09</t>
  </si>
  <si>
    <t xml:space="preserve">Basic/diluted EPS, ordinary share</t>
  </si>
  <si>
    <t xml:space="preserve">EUR/share</t>
  </si>
  <si>
    <t xml:space="preserve">01 - Group EBIT AM37</t>
  </si>
  <si>
    <t xml:space="preserve">exact</t>
  </si>
  <si>
    <t xml:space="preserve">G10</t>
  </si>
  <si>
    <t xml:space="preserve">Basic/diluted EPS, preferred share</t>
  </si>
  <si>
    <t xml:space="preserve">01 - Group EBIT AM38</t>
  </si>
  <si>
    <t xml:space="preserve">Deliveries (total)</t>
  </si>
  <si>
    <t xml:space="preserve">03 - Sales_deliveries by Region AA28</t>
  </si>
  <si>
    <t xml:space="preserve">03 - Sales_deliveries by Region AA26</t>
  </si>
  <si>
    <t xml:space="preserve">ASP - automotive revenue per vehicle sold</t>
  </si>
  <si>
    <t xml:space="preserve">20 (prior-year column)</t>
  </si>
  <si>
    <t xml:space="preserve">EUR 1k</t>
  </si>
  <si>
    <t xml:space="preserve">BEV share</t>
  </si>
  <si>
    <t xml:space="preserve">S006</t>
  </si>
  <si>
    <t xml:space="preserve">7 (prior-year value)</t>
  </si>
  <si>
    <t xml:space="preserve">Impairment losses included in automotive D&amp;A</t>
  </si>
  <si>
    <t xml:space="preserve">38-39 (segment reporting)</t>
  </si>
  <si>
    <t xml:space="preserve">FY - H1: 2023-FY (S026) minus 2023-H1 (S002)</t>
  </si>
  <si>
    <t xml:space="preserve">derived; inputs rounded: FY EUR 1m / H1 EUR 1m</t>
  </si>
  <si>
    <t xml:space="preserve">FY - H1: 2023-FY (S011) minus 2023-H1 (S002)</t>
  </si>
  <si>
    <t xml:space="preserve">FY - H1: 2023-FY (S011) minus 2023-H1 (S005)</t>
  </si>
  <si>
    <t xml:space="preserve">FY - H1: 2023-FY (S011) minus 2023-H1 (SQL derived)</t>
  </si>
  <si>
    <t xml:space="preserve">derived; inputs rounded: FY EUR 1m / H1 derived from EUR 1m inputs</t>
  </si>
  <si>
    <t xml:space="preserve">FY - H1: 2023-FY (S025) minus 2023-H1 (S025)</t>
  </si>
  <si>
    <t xml:space="preserve">derived; inputs rounded: FY exact (EUR, converted to EUR m) / H1 exact (EUR, converted to EUR m)</t>
  </si>
  <si>
    <t xml:space="preserve">Period-end value = 2023-FY (S025)</t>
  </si>
  <si>
    <t xml:space="preserve">derived; inputs rounded: FY exact / H1 exact</t>
  </si>
  <si>
    <t xml:space="preserve">FY - H1: 2023-FY (S004) minus 2023-H1 (S002)</t>
  </si>
  <si>
    <t xml:space="preserve">10 (Automotive EBITDA margin table)</t>
  </si>
  <si>
    <t xml:space="preserve">25</t>
  </si>
  <si>
    <t xml:space="preserve">02 - Automotive CF S24</t>
  </si>
  <si>
    <t xml:space="preserve">02 - Automotive CF S22</t>
  </si>
  <si>
    <t xml:space="preserve">02 - Automotive CF S23</t>
  </si>
  <si>
    <t xml:space="preserve">02 - Automotive CF S25</t>
  </si>
  <si>
    <t xml:space="preserve">Bridge: gross margin without R&amp;D (change)</t>
  </si>
  <si>
    <t xml:space="preserve">16</t>
  </si>
  <si>
    <t xml:space="preserve">EUR 0.01bn</t>
  </si>
  <si>
    <t xml:space="preserve">Bridge: R&amp;D (change)</t>
  </si>
  <si>
    <t xml:space="preserve">Bridge: SG&amp;A (change)</t>
  </si>
  <si>
    <t xml:space="preserve">Bridge: Other (change)</t>
  </si>
  <si>
    <t xml:space="preserve">01 - Group EBIT AA29</t>
  </si>
  <si>
    <t xml:space="preserve">01 - Group EBIT AA30</t>
  </si>
  <si>
    <t xml:space="preserve">01 - Group EBIT AA31</t>
  </si>
  <si>
    <t xml:space="preserve">01 - Group EBIT AA32</t>
  </si>
  <si>
    <t xml:space="preserve">01 - Group EBIT AA33</t>
  </si>
  <si>
    <t xml:space="preserve">01 - Group EBIT AA34</t>
  </si>
  <si>
    <t xml:space="preserve">01 - Group EBIT AA35</t>
  </si>
  <si>
    <t xml:space="preserve">01 - Group EBIT AA37</t>
  </si>
  <si>
    <t xml:space="preserve">01 - Group EBIT AA38</t>
  </si>
  <si>
    <t xml:space="preserve">03 - Sales_deliveries by Region S28</t>
  </si>
  <si>
    <t xml:space="preserve">03 - Sales_deliveries by Region S26</t>
  </si>
  <si>
    <t xml:space="preserve">S009</t>
  </si>
  <si>
    <t xml:space="preserve">32 (prior-year column)</t>
  </si>
  <si>
    <t xml:space="preserve">7</t>
  </si>
  <si>
    <t xml:space="preserve">FY - H1: 2024-FY (S026) minus 2024-H1 (S006)</t>
  </si>
  <si>
    <t xml:space="preserve">FY - H1: 2024-FY (S013) minus 2024-H1 (S006)</t>
  </si>
  <si>
    <t xml:space="preserve">FY - H1: 2024-FY (S011) minus 2024-H1 (S016)</t>
  </si>
  <si>
    <t xml:space="preserve">FY - H1: 2024-FY (S025) minus 2024-H1 (S025)</t>
  </si>
  <si>
    <t xml:space="preserve">Period-end value = 2024-FY (S025)</t>
  </si>
  <si>
    <t xml:space="preserve">FY - H1: 2024-FY (S007) minus 2024-H1 (S005)</t>
  </si>
  <si>
    <t xml:space="preserve">derived; inputs rounded: FY EUR 0.1bn / H1 EUR 0.01bn</t>
  </si>
  <si>
    <t xml:space="preserve">FY - H1: 2024-FY (S008) minus 2024-H1 (S006)</t>
  </si>
  <si>
    <t xml:space="preserve">S010</t>
  </si>
  <si>
    <t xml:space="preserve">11 (Automotive EBITDA margin table)</t>
  </si>
  <si>
    <t xml:space="preserve">02 - Automotive CF K24</t>
  </si>
  <si>
    <t xml:space="preserve">02 - Automotive CF K22</t>
  </si>
  <si>
    <t xml:space="preserve">02 - Automotive CF K23</t>
  </si>
  <si>
    <t xml:space="preserve">02 - Automotive CF K25</t>
  </si>
  <si>
    <t xml:space="preserve">28</t>
  </si>
  <si>
    <t xml:space="preserve">Bridge memo: extraordinary items contained in B01-B04</t>
  </si>
  <si>
    <t xml:space="preserve">42 (segment reporting)</t>
  </si>
  <si>
    <t xml:space="preserve">01 - Group EBIT O29</t>
  </si>
  <si>
    <t xml:space="preserve">01 - Group EBIT O30</t>
  </si>
  <si>
    <t xml:space="preserve">01 - Group EBIT O31</t>
  </si>
  <si>
    <t xml:space="preserve">01 - Group EBIT O32</t>
  </si>
  <si>
    <t xml:space="preserve">01 - Group EBIT O33</t>
  </si>
  <si>
    <t xml:space="preserve">01 - Group EBIT O34</t>
  </si>
  <si>
    <t xml:space="preserve">01 - Group EBIT O35</t>
  </si>
  <si>
    <t xml:space="preserve">01 - Group EBIT O37</t>
  </si>
  <si>
    <t xml:space="preserve">01 - Group EBIT O38</t>
  </si>
  <si>
    <t xml:space="preserve">03 - Sales_deliveries by Region K28</t>
  </si>
  <si>
    <t xml:space="preserve">03 - Sales_deliveries by Region K26</t>
  </si>
  <si>
    <t xml:space="preserve">10 (prior-year column)</t>
  </si>
  <si>
    <t xml:space="preserve">8</t>
  </si>
  <si>
    <t xml:space="preserve">6 (footnote 1)</t>
  </si>
  <si>
    <t xml:space="preserve">EUR 0.1bn</t>
  </si>
  <si>
    <t xml:space="preserve">of which battery activities (memo)</t>
  </si>
  <si>
    <t xml:space="preserve">5 and 30</t>
  </si>
  <si>
    <t xml:space="preserve">32</t>
  </si>
  <si>
    <t xml:space="preserve">FY - H1: 2025-FY (S013) minus 2025-H1 (S010)</t>
  </si>
  <si>
    <t xml:space="preserve">FY - H1: 2025-FY (S011) minus 2025-H1 (S016)</t>
  </si>
  <si>
    <t xml:space="preserve">FY - H1: 2025-FY (S025) minus 2025-H1 (S025)</t>
  </si>
  <si>
    <t xml:space="preserve">Period-end value = 2025-FY (S025)</t>
  </si>
  <si>
    <t xml:space="preserve">FY - H1: 2025-FY (S011) minus 2025-H1 (S009)</t>
  </si>
  <si>
    <t xml:space="preserve">derived; inputs rounded: FY EUR 0.01bn / H1 EUR 0.01bn</t>
  </si>
  <si>
    <t xml:space="preserve">derived; inputs rounded: FY EUR 0.1bn / H1 EUR 0.1bn</t>
  </si>
  <si>
    <t xml:space="preserve">FY - H1: 2025-FY (S011) minus 2025-H1 (S010)</t>
  </si>
  <si>
    <t xml:space="preserve">FY - H1: 2025-FY (S012) minus 2025-H1 (S010)</t>
  </si>
  <si>
    <t xml:space="preserve">S017</t>
  </si>
  <si>
    <t xml:space="preserve">12 (Automotive EBITDA margin table)</t>
  </si>
  <si>
    <t xml:space="preserve">02 - Automotive CF C24</t>
  </si>
  <si>
    <t xml:space="preserve">02 - Automotive CF C22</t>
  </si>
  <si>
    <t xml:space="preserve">02 - Automotive CF C23</t>
  </si>
  <si>
    <t xml:space="preserve">02 - Automotive CF C25</t>
  </si>
  <si>
    <t xml:space="preserve">6</t>
  </si>
  <si>
    <t xml:space="preserve">39 (segment reporting)</t>
  </si>
  <si>
    <t xml:space="preserve">01 - Group EBIT C29</t>
  </si>
  <si>
    <t xml:space="preserve">01 - Group EBIT C30</t>
  </si>
  <si>
    <t xml:space="preserve">01 - Group EBIT C31</t>
  </si>
  <si>
    <t xml:space="preserve">01 - Group EBIT C32</t>
  </si>
  <si>
    <t xml:space="preserve">01 - Group EBIT C33</t>
  </si>
  <si>
    <t xml:space="preserve">01 - Group EBIT C34</t>
  </si>
  <si>
    <t xml:space="preserve">01 - Group EBIT C35</t>
  </si>
  <si>
    <t xml:space="preserve">01 - Group EBIT C37</t>
  </si>
  <si>
    <t xml:space="preserve">01 - Group EBIT C38</t>
  </si>
  <si>
    <t xml:space="preserve">03 - Sales_deliveries by Region C28</t>
  </si>
  <si>
    <t xml:space="preserve">03 - Sales_deliveries by Region C26</t>
  </si>
  <si>
    <t xml:space="preserve">10</t>
  </si>
  <si>
    <t xml:space="preserve">6 and 11</t>
  </si>
  <si>
    <t xml:space="preserve">6 (footnote 2)</t>
  </si>
  <si>
    <t xml:space="preserve">Provision releases related to realignment</t>
  </si>
  <si>
    <t xml:space="preserve">29</t>
  </si>
  <si>
    <t xml:space="preserve">Data_Mix - controlled import of deliveries by model line and region</t>
  </si>
  <si>
    <t xml:space="preserve">Source: core.fact_deliveries_model / core.fact_deliveries_region (fact sheet S025; H2 = FY - H1, DERIVED). Blue = imported.</t>
  </si>
  <si>
    <t xml:space="preserve">dimension</t>
  </si>
  <si>
    <t xml:space="preserve">member_id</t>
  </si>
  <si>
    <t xml:space="preserve">member_name</t>
  </si>
  <si>
    <t xml:space="preserve">top_level</t>
  </si>
  <si>
    <t xml:space="preserve">deliveries</t>
  </si>
  <si>
    <t xml:space="preserve">model</t>
  </si>
  <si>
    <t xml:space="preserve">718</t>
  </si>
  <si>
    <t xml:space="preserve">718 Boxster/Cayman</t>
  </si>
  <si>
    <t xml:space="preserve">TRUE</t>
  </si>
  <si>
    <t xml:space="preserve">04 - Sales_deliveries by Model AA33</t>
  </si>
  <si>
    <t xml:space="preserve">911</t>
  </si>
  <si>
    <t xml:space="preserve">04 - Sales_deliveries by Model AA32</t>
  </si>
  <si>
    <t xml:space="preserve">CAY</t>
  </si>
  <si>
    <t xml:space="preserve">Cayenne</t>
  </si>
  <si>
    <t xml:space="preserve">04 - Sales_deliveries by Model AA34</t>
  </si>
  <si>
    <t xml:space="preserve">MAC</t>
  </si>
  <si>
    <t xml:space="preserve">Macan (total)</t>
  </si>
  <si>
    <t xml:space="preserve">04 - Sales_deliveries by Model AA36</t>
  </si>
  <si>
    <t xml:space="preserve">PAN</t>
  </si>
  <si>
    <t xml:space="preserve">Panamera</t>
  </si>
  <si>
    <t xml:space="preserve">04 - Sales_deliveries by Model AA35</t>
  </si>
  <si>
    <t xml:space="preserve">TAY</t>
  </si>
  <si>
    <t xml:space="preserve">Taycan</t>
  </si>
  <si>
    <t xml:space="preserve">04 - Sales_deliveries by Model AA39</t>
  </si>
  <si>
    <t xml:space="preserve">region</t>
  </si>
  <si>
    <t xml:space="preserve">CN</t>
  </si>
  <si>
    <t xml:space="preserve">China</t>
  </si>
  <si>
    <t xml:space="preserve">03 - Sales_deliveries by Region AA31</t>
  </si>
  <si>
    <t xml:space="preserve">DE</t>
  </si>
  <si>
    <t xml:space="preserve">Germany</t>
  </si>
  <si>
    <t xml:space="preserve">03 - Sales_deliveries by Region AA29</t>
  </si>
  <si>
    <t xml:space="preserve">EU</t>
  </si>
  <si>
    <t xml:space="preserve">Europe excl. Germany</t>
  </si>
  <si>
    <t xml:space="preserve">03 - Sales_deliveries by Region AA32</t>
  </si>
  <si>
    <t xml:space="preserve">NA</t>
  </si>
  <si>
    <t xml:space="preserve">North America</t>
  </si>
  <si>
    <t xml:space="preserve">03 - Sales_deliveries by Region AA30</t>
  </si>
  <si>
    <t xml:space="preserve">OEM</t>
  </si>
  <si>
    <t xml:space="preserve">Overseas &amp; Emerging Markets</t>
  </si>
  <si>
    <t xml:space="preserve">03 - Sales_deliveries by Region AA33</t>
  </si>
  <si>
    <t xml:space="preserve">FY - H1 (fact sheet S025)</t>
  </si>
  <si>
    <t xml:space="preserve">04 - Sales_deliveries by Model S33</t>
  </si>
  <si>
    <t xml:space="preserve">04 - Sales_deliveries by Model S32</t>
  </si>
  <si>
    <t xml:space="preserve">04 - Sales_deliveries by Model S34</t>
  </si>
  <si>
    <t xml:space="preserve">04 - Sales_deliveries by Model S36</t>
  </si>
  <si>
    <t xml:space="preserve">04 - Sales_deliveries by Model S35</t>
  </si>
  <si>
    <t xml:space="preserve">04 - Sales_deliveries by Model S39</t>
  </si>
  <si>
    <t xml:space="preserve">03 - Sales_deliveries by Region S31</t>
  </si>
  <si>
    <t xml:space="preserve">03 - Sales_deliveries by Region S29</t>
  </si>
  <si>
    <t xml:space="preserve">03 - Sales_deliveries by Region S32</t>
  </si>
  <si>
    <t xml:space="preserve">03 - Sales_deliveries by Region S30</t>
  </si>
  <si>
    <t xml:space="preserve">03 - Sales_deliveries by Region S33</t>
  </si>
  <si>
    <t xml:space="preserve">04 - Sales_deliveries by Model K33</t>
  </si>
  <si>
    <t xml:space="preserve">04 - Sales_deliveries by Model K32</t>
  </si>
  <si>
    <t xml:space="preserve">04 - Sales_deliveries by Model K34</t>
  </si>
  <si>
    <t xml:space="preserve">04 - Sales_deliveries by Model K36</t>
  </si>
  <si>
    <t xml:space="preserve">MAC_BEV</t>
  </si>
  <si>
    <t xml:space="preserve">Macan BEV</t>
  </si>
  <si>
    <t xml:space="preserve">FALSE</t>
  </si>
  <si>
    <t xml:space="preserve">04 - Sales_deliveries by Model K38</t>
  </si>
  <si>
    <t xml:space="preserve">MAC_ICE</t>
  </si>
  <si>
    <t xml:space="preserve">Macan ICE</t>
  </si>
  <si>
    <t xml:space="preserve">04 - Sales_deliveries by Model K37</t>
  </si>
  <si>
    <t xml:space="preserve">04 - Sales_deliveries by Model K35</t>
  </si>
  <si>
    <t xml:space="preserve">04 - Sales_deliveries by Model K39</t>
  </si>
  <si>
    <t xml:space="preserve">03 - Sales_deliveries by Region K31</t>
  </si>
  <si>
    <t xml:space="preserve">03 - Sales_deliveries by Region K29</t>
  </si>
  <si>
    <t xml:space="preserve">03 - Sales_deliveries by Region K32</t>
  </si>
  <si>
    <t xml:space="preserve">03 - Sales_deliveries by Region K30</t>
  </si>
  <si>
    <t xml:space="preserve">03 - Sales_deliveries by Region K33</t>
  </si>
  <si>
    <t xml:space="preserve">04 - Sales_deliveries by Model C33</t>
  </si>
  <si>
    <t xml:space="preserve">04 - Sales_deliveries by Model C32</t>
  </si>
  <si>
    <t xml:space="preserve">04 - Sales_deliveries by Model C34</t>
  </si>
  <si>
    <t xml:space="preserve">04 - Sales_deliveries by Model C36</t>
  </si>
  <si>
    <t xml:space="preserve">04 - Sales_deliveries by Model C38</t>
  </si>
  <si>
    <t xml:space="preserve">04 - Sales_deliveries by Model C37</t>
  </si>
  <si>
    <t xml:space="preserve">04 - Sales_deliveries by Model C35</t>
  </si>
  <si>
    <t xml:space="preserve">04 - Sales_deliveries by Model C39</t>
  </si>
  <si>
    <t xml:space="preserve">03 - Sales_deliveries by Region C31</t>
  </si>
  <si>
    <t xml:space="preserve">03 - Sales_deliveries by Region C29</t>
  </si>
  <si>
    <t xml:space="preserve">03 - Sales_deliveries by Region C32</t>
  </si>
  <si>
    <t xml:space="preserve">03 - Sales_deliveries by Region C30</t>
  </si>
  <si>
    <t xml:space="preserve">03 - Sales_deliveries by Region C33</t>
  </si>
  <si>
    <t xml:space="preserve">SQL_Outputs - mart view results imported for reconciliation only</t>
  </si>
  <si>
    <t xml:space="preserve">Blue = value exported from the PostgreSQL mart views after Phase 4 cleanup. The analysis sheets do NOT use these values; Audit_Checks compares them with the Excel formulas.</t>
  </si>
  <si>
    <t xml:space="preserve">mart column</t>
  </si>
  <si>
    <t xml:space="preserve">mart view</t>
  </si>
  <si>
    <t xml:space="preserve">ebit_l0_reported</t>
  </si>
  <si>
    <t xml:space="preserve">mart.v_ebit_adjusted</t>
  </si>
  <si>
    <t xml:space="preserve">ebit_l1_ex_realignment</t>
  </si>
  <si>
    <t xml:space="preserve">ebit_l2_ex_realignment_tariffs</t>
  </si>
  <si>
    <t xml:space="preserve">ebit_l3_hybrid_sensitivity</t>
  </si>
  <si>
    <t xml:space="preserve">margin_l0_reported_pct</t>
  </si>
  <si>
    <t xml:space="preserve">% x100</t>
  </si>
  <si>
    <t xml:space="preserve">margin_l1_pct</t>
  </si>
  <si>
    <t xml:space="preserve">margin_l2_pct</t>
  </si>
  <si>
    <t xml:space="preserve">margin_l3_hybrid_pct</t>
  </si>
  <si>
    <t xml:space="preserve">da_clean</t>
  </si>
  <si>
    <t xml:space="preserve">mart.v_da_clean</t>
  </si>
  <si>
    <t xml:space="preserve">rd_pl_charge</t>
  </si>
  <si>
    <t xml:space="preserve">mart.v_rd_capitalisation</t>
  </si>
  <si>
    <t xml:space="preserve">ebit_effect_of_cap_rate_change</t>
  </si>
  <si>
    <t xml:space="preserve">asp_calc_eur_k</t>
  </si>
  <si>
    <t xml:space="preserve">mart.v_asp_volume</t>
  </si>
  <si>
    <t xml:space="preserve">volume_effect</t>
  </si>
  <si>
    <t xml:space="preserve">asp_effect</t>
  </si>
  <si>
    <t xml:space="preserve">ncf_margin_pct</t>
  </si>
  <si>
    <t xml:space="preserve">mart.v_cash_crosscheck</t>
  </si>
  <si>
    <t xml:space="preserve">simple_cash_proxy</t>
  </si>
  <si>
    <t xml:space="preserve">eff_residual_other_drivers</t>
  </si>
  <si>
    <t xml:space="preserve">mart.v_ebit_bridge_yoy</t>
  </si>
  <si>
    <t xml:space="preserve">pp_residual_other_drivers</t>
  </si>
  <si>
    <t xml:space="preserve">pp</t>
  </si>
  <si>
    <t xml:space="preserve">mart.v_guidance_2026_summary (scenario combinations; % x100)</t>
  </si>
  <si>
    <t xml:space="preserve">h2_rev_min</t>
  </si>
  <si>
    <t xml:space="preserve">h2_rev_max</t>
  </si>
  <si>
    <t xml:space="preserve">h2_ebit_l0_min</t>
  </si>
  <si>
    <t xml:space="preserve">h2_ebit_l0_max</t>
  </si>
  <si>
    <t xml:space="preserve">h2_margin_l0_min</t>
  </si>
  <si>
    <t xml:space="preserve">h2_margin_l0_max</t>
  </si>
  <si>
    <t xml:space="preserve">h2_margin_l0_mid</t>
  </si>
  <si>
    <t xml:space="preserve">h2_margin_l1_min</t>
  </si>
  <si>
    <t xml:space="preserve">h2_margin_l1_max</t>
  </si>
  <si>
    <t xml:space="preserve">h2_margin_l1_mid</t>
  </si>
  <si>
    <t xml:space="preserve">h2_margin_l2_min</t>
  </si>
  <si>
    <t xml:space="preserve">h2_margin_l2_max</t>
  </si>
  <si>
    <t xml:space="preserve">h2_margin_l2_mid</t>
  </si>
  <si>
    <t xml:space="preserve">h1_2026_margin_l0</t>
  </si>
  <si>
    <t xml:space="preserve">h1_2026_margin_l1</t>
  </si>
  <si>
    <t xml:space="preserve">h2_2025_margin_l0</t>
  </si>
  <si>
    <t xml:space="preserve">h2_2025_margin_l1</t>
  </si>
  <si>
    <t xml:space="preserve">mart.v_guidance_2026 (27 scenario combinations; % x100)</t>
  </si>
  <si>
    <t xml:space="preserve">scenario_id</t>
  </si>
  <si>
    <t xml:space="preserve">h2_margin_l0</t>
  </si>
  <si>
    <t xml:space="preserve">h2_margin_l1</t>
  </si>
  <si>
    <t xml:space="preserve">h2_margin_l2</t>
  </si>
  <si>
    <t xml:space="preserve">high/high/high</t>
  </si>
  <si>
    <t xml:space="preserve">high/high/low</t>
  </si>
  <si>
    <t xml:space="preserve">high/high/mid</t>
  </si>
  <si>
    <t xml:space="preserve">high/low/high</t>
  </si>
  <si>
    <t xml:space="preserve">high/low/low</t>
  </si>
  <si>
    <t xml:space="preserve">high/low/mid</t>
  </si>
  <si>
    <t xml:space="preserve">high/mid/high</t>
  </si>
  <si>
    <t xml:space="preserve">high/mid/low</t>
  </si>
  <si>
    <t xml:space="preserve">high/mid/mid</t>
  </si>
  <si>
    <t xml:space="preserve">low/high/high</t>
  </si>
  <si>
    <t xml:space="preserve">low/high/low</t>
  </si>
  <si>
    <t xml:space="preserve">low/high/mid</t>
  </si>
  <si>
    <t xml:space="preserve">low/low/high</t>
  </si>
  <si>
    <t xml:space="preserve">low/low/low</t>
  </si>
  <si>
    <t xml:space="preserve">low/low/mid</t>
  </si>
  <si>
    <t xml:space="preserve">low/mid/high</t>
  </si>
  <si>
    <t xml:space="preserve">low/mid/low</t>
  </si>
  <si>
    <t xml:space="preserve">low/mid/mid</t>
  </si>
  <si>
    <t xml:space="preserve">mid/high/high</t>
  </si>
  <si>
    <t xml:space="preserve">mid/high/low</t>
  </si>
  <si>
    <t xml:space="preserve">mid/high/mid</t>
  </si>
  <si>
    <t xml:space="preserve">mid/low/high</t>
  </si>
  <si>
    <t xml:space="preserve">mid/low/low</t>
  </si>
  <si>
    <t xml:space="preserve">mid/low/mid</t>
  </si>
  <si>
    <t xml:space="preserve">mid/mid/high</t>
  </si>
  <si>
    <t xml:space="preserve">mid/mid/low</t>
  </si>
  <si>
    <t xml:space="preserve">mid/mid/mid</t>
  </si>
  <si>
    <t xml:space="preserve">mart.v_guidance_2026_auto (9 scenario combinations; % x100)</t>
  </si>
  <si>
    <t xml:space="preserve">h2_auto_ebitda_margin</t>
  </si>
  <si>
    <t xml:space="preserve">h2_auto_ncf_margin</t>
  </si>
  <si>
    <t xml:space="preserve">high/high</t>
  </si>
  <si>
    <t xml:space="preserve">high/low</t>
  </si>
  <si>
    <t xml:space="preserve">high/mid</t>
  </si>
  <si>
    <t xml:space="preserve">low/high</t>
  </si>
  <si>
    <t xml:space="preserve">low/low</t>
  </si>
  <si>
    <t xml:space="preserve">low/mid</t>
  </si>
  <si>
    <t xml:space="preserve">mid/high</t>
  </si>
  <si>
    <t xml:space="preserve">mid/low</t>
  </si>
  <si>
    <t xml:space="preserve">mid/mid</t>
  </si>
  <si>
    <t xml:space="preserve">KPI Overview - Porsche 2026 margin recovery</t>
  </si>
  <si>
    <t xml:space="preserve">Half-year view, group and automotive. All values are formulas linked to the analysis sheets (green = link).</t>
  </si>
  <si>
    <t xml:space="preserve">Question: Porsche's reported margin rose from 5.5% to 7.8% in H1 2026. After removing the exceptional items Porsche discloses, and isolating non-cash effects, is underlying profitability improving - and what does H2 2026 guidance imply?</t>
  </si>
  <si>
    <t xml:space="preserve">KPI</t>
  </si>
  <si>
    <t xml:space="preserve">H1 2025</t>
  </si>
  <si>
    <t xml:space="preserve">H1 2026</t>
  </si>
  <si>
    <t xml:space="preserve">change</t>
  </si>
  <si>
    <t xml:space="preserve">definition / lineage</t>
  </si>
  <si>
    <t xml:space="preserve">Group, fact sheet S025</t>
  </si>
  <si>
    <t xml:space="preserve">L0 Reported EBIT</t>
  </si>
  <si>
    <t xml:space="preserve">Group operating profit</t>
  </si>
  <si>
    <t xml:space="preserve">L0 Reported margin</t>
  </si>
  <si>
    <t xml:space="preserve">EBIT / revenue</t>
  </si>
  <si>
    <t xml:space="preserve">L1 EBIT excl. realignment &amp; battery</t>
  </si>
  <si>
    <t xml:space="preserve">Headline adjusted level</t>
  </si>
  <si>
    <t xml:space="preserve">L1 margin</t>
  </si>
  <si>
    <t xml:space="preserve">L2 EBIT excl. realignment, battery &amp; tariffs</t>
  </si>
  <si>
    <t xml:space="preserve">L2 margin</t>
  </si>
  <si>
    <t xml:space="preserve">Automotive revenue</t>
  </si>
  <si>
    <t xml:space="preserve">Automotive segment</t>
  </si>
  <si>
    <t xml:space="preserve">Fact sheet S025</t>
  </si>
  <si>
    <t xml:space="preserve">ASP (automotive revenue per vehicle sold)</t>
  </si>
  <si>
    <t xml:space="preserve">Porsche ASP definition</t>
  </si>
  <si>
    <t xml:space="preserve">Net cash flow margin</t>
  </si>
  <si>
    <t xml:space="preserve">NCF / automotive revenue</t>
  </si>
  <si>
    <t xml:space="preserve">L3 (supplementary hybrid sensitivity) is deliberately not shown here; see EBIT_Analysis section E.</t>
  </si>
  <si>
    <t xml:space="preserve">Formula-driven readings (descriptive; interpretation follows in Phase 6)</t>
  </si>
  <si>
    <t xml:space="preserve">H1 2026 vs H1 2025 EBIT bridge (EUR m) - chart data</t>
  </si>
  <si>
    <t xml:space="preserve">Exceptional items</t>
  </si>
  <si>
    <t xml:space="preserve">US tariffs</t>
  </si>
  <si>
    <t xml:space="preserve">Capitalised dev. costs</t>
  </si>
  <si>
    <t xml:space="preserve">Clean D&amp;A</t>
  </si>
  <si>
    <t xml:space="preserve">Financial Services</t>
  </si>
  <si>
    <t xml:space="preserve">Residual / other drivers</t>
  </si>
  <si>
    <t xml:space="preserve">Total change in EBIT</t>
  </si>
  <si>
    <t xml:space="preserve">Profitability / EBIT Analysis - reported vs adjusted, and the year-on-year bridge</t>
  </si>
  <si>
    <t xml:space="preserve">Group level. Headline levels L0/L1/L2. L3 is a supplementary hybrid sensitivity only (section E).</t>
  </si>
  <si>
    <t xml:space="preserve">Business question: After removing Porsche's disclosed exceptional items, is group profitability improving - and what moved EBIT?</t>
  </si>
  <si>
    <t xml:space="preserve">ID</t>
  </si>
  <si>
    <t xml:space="preserve">Measure</t>
  </si>
  <si>
    <t xml:space="preserve">Unit</t>
  </si>
  <si>
    <t xml:space="preserve">Formula / source lineage</t>
  </si>
  <si>
    <t xml:space="preserve">A. Reported group profitability</t>
  </si>
  <si>
    <t xml:space="preserve">E01</t>
  </si>
  <si>
    <t xml:space="preserve">Data_Panel G01 &lt;- S025 fact sheet</t>
  </si>
  <si>
    <t xml:space="preserve">E02</t>
  </si>
  <si>
    <t xml:space="preserve">Data_Panel G07 &lt;- S025 fact sheet</t>
  </si>
  <si>
    <t xml:space="preserve">E03</t>
  </si>
  <si>
    <t xml:space="preserve">L0 Reported margin (return on sales)</t>
  </si>
  <si>
    <t xml:space="preserve">E02 / E01</t>
  </si>
  <si>
    <t xml:space="preserve">E04</t>
  </si>
  <si>
    <t xml:space="preserve">Published group return on sales (reference)</t>
  </si>
  <si>
    <t xml:space="preserve">Input: S009 slide 27 (H1 2024), S016 slide 5 (H1 2025, H1 2026). Used only by check C28.</t>
  </si>
  <si>
    <t xml:space="preserve">E05</t>
  </si>
  <si>
    <t xml:space="preserve">Check: calculated - published margin</t>
  </si>
  <si>
    <t xml:space="preserve">0 where no published value</t>
  </si>
  <si>
    <t xml:space="preserve">B. Exceptional items disclosed by Porsche (EUR m, positive = expense)</t>
  </si>
  <si>
    <t xml:space="preserve">E06</t>
  </si>
  <si>
    <t xml:space="preserve">Strategic realignment incl. battery (net), used</t>
  </si>
  <si>
    <t xml:space="preserve">Data_Panel X01 (S016 p.6; S011 p.6 FY2025 = 2.4 + 0.7, DERIVED). Blank -&gt; 0 (assumption A-01).</t>
  </si>
  <si>
    <t xml:space="preserve">   status</t>
  </si>
  <si>
    <t xml:space="preserve">E07</t>
  </si>
  <si>
    <t xml:space="preserve">US import tariffs, used</t>
  </si>
  <si>
    <t xml:space="preserve">Data_Panel X03 (S010 p.5; S011 p.6; S016 p.6). Blank -&gt; 0 (assumption A-02).</t>
  </si>
  <si>
    <t xml:space="preserve">Impairments (Data_Panel X05) are NOT added here: they are already inside the realignment/battery line. Adding them would double count.</t>
  </si>
  <si>
    <t xml:space="preserve">C. Adjusted EBIT - HEADLINE LEVELS</t>
  </si>
  <si>
    <t xml:space="preserve">E08</t>
  </si>
  <si>
    <t xml:space="preserve">E02 + E06</t>
  </si>
  <si>
    <t xml:space="preserve">E09</t>
  </si>
  <si>
    <t xml:space="preserve">E08 / E01</t>
  </si>
  <si>
    <t xml:space="preserve">E10</t>
  </si>
  <si>
    <t xml:space="preserve">L2 EBIT excl. realignment, battery &amp; US tariffs</t>
  </si>
  <si>
    <t xml:space="preserve">E08 + E07</t>
  </si>
  <si>
    <t xml:space="preserve">E11</t>
  </si>
  <si>
    <t xml:space="preserve">E10 / E01</t>
  </si>
  <si>
    <t xml:space="preserve">E12</t>
  </si>
  <si>
    <t xml:space="preserve">Rounding band of adjustments (+/-)</t>
  </si>
  <si>
    <t xml:space="preserve">One-offs printed to EUR 0.1bn -&gt; +/-50m each; doubled for derived H2 (A-09)</t>
  </si>
  <si>
    <t xml:space="preserve">D. Year-on-year change (same half of prior year)</t>
  </si>
  <si>
    <t xml:space="preserve">E13</t>
  </si>
  <si>
    <t xml:space="preserve">Change in L0 EBIT</t>
  </si>
  <si>
    <t xml:space="preserve">E14</t>
  </si>
  <si>
    <t xml:space="preserve">Change in L0 margin</t>
  </si>
  <si>
    <t xml:space="preserve">E15</t>
  </si>
  <si>
    <t xml:space="preserve">Change in L1 EBIT</t>
  </si>
  <si>
    <t xml:space="preserve">E16</t>
  </si>
  <si>
    <t xml:space="preserve">Change in L1 margin</t>
  </si>
  <si>
    <t xml:space="preserve">E17</t>
  </si>
  <si>
    <t xml:space="preserve">Change in L2 EBIT</t>
  </si>
  <si>
    <t xml:space="preserve">E18</t>
  </si>
  <si>
    <t xml:space="preserve">Change in L2 margin</t>
  </si>
  <si>
    <t xml:space="preserve">E. SUPPLEMENTARY HYBRID SENSITIVITY (L3) - not underlying group profitability; NOT a headline KPI</t>
  </si>
  <si>
    <t xml:space="preserve">L3 = L1 + clean automotive D&amp;A - automotive capitalised development costs: an EBITDA-type figure in which total automotive R&amp;D costs are expensed as incurred. It mixes group EBIT with automotive-only items, so it is shown only as a sensitivity.</t>
  </si>
  <si>
    <t xml:space="preserve">E19</t>
  </si>
  <si>
    <t xml:space="preserve">Clean automotive D&amp;A (from RD_DA)</t>
  </si>
  <si>
    <t xml:space="preserve">E20</t>
  </si>
  <si>
    <t xml:space="preserve">E21</t>
  </si>
  <si>
    <t xml:space="preserve">L3 hybrid sensitivity</t>
  </si>
  <si>
    <t xml:space="preserve">E08 + E19 - E20</t>
  </si>
  <si>
    <t xml:space="preserve">E22</t>
  </si>
  <si>
    <t xml:space="preserve">L3 hybrid margin (sensitivity only)</t>
  </si>
  <si>
    <t xml:space="preserve">E23</t>
  </si>
  <si>
    <t xml:space="preserve">L3 if H1 2026 impairments are not inside D&amp;A (A-04 false)</t>
  </si>
  <si>
    <t xml:space="preserve">F. Own year-on-year EBIT bridge (EUR m)</t>
  </si>
  <si>
    <t xml:space="preserve">E24</t>
  </si>
  <si>
    <t xml:space="preserve">EBIT same half prior year</t>
  </si>
  <si>
    <t xml:space="preserve">E25</t>
  </si>
  <si>
    <t xml:space="preserve">Change in reported EBIT</t>
  </si>
  <si>
    <t xml:space="preserve">E26</t>
  </si>
  <si>
    <t xml:space="preserve">  Exceptional items (realignment/battery, net)</t>
  </si>
  <si>
    <t xml:space="preserve">-(change in E06)</t>
  </si>
  <si>
    <t xml:space="preserve">E27</t>
  </si>
  <si>
    <t xml:space="preserve">  US import tariffs</t>
  </si>
  <si>
    <t xml:space="preserve">-(change in E07)</t>
  </si>
  <si>
    <t xml:space="preserve">E28</t>
  </si>
  <si>
    <t xml:space="preserve">  Capitalised development costs</t>
  </si>
  <si>
    <t xml:space="preserve">change in A06 (more capitalisation = less cost in P&amp;L)</t>
  </si>
  <si>
    <t xml:space="preserve">E29</t>
  </si>
  <si>
    <t xml:space="preserve">  Clean automotive D&amp;A</t>
  </si>
  <si>
    <t xml:space="preserve">-(change in clean D&amp;A); impairments excluded (no double count)</t>
  </si>
  <si>
    <t xml:space="preserve">E30</t>
  </si>
  <si>
    <t xml:space="preserve">  Financial Services EBIT</t>
  </si>
  <si>
    <t xml:space="preserve">change in F02</t>
  </si>
  <si>
    <t xml:space="preserve">E31</t>
  </si>
  <si>
    <t xml:space="preserve">  Residual / other EBIT drivers (not separated)</t>
  </si>
  <si>
    <t xml:space="preserve">E25 - E26..E30. NOT operating performance: mixes price, mix, volume, total R&amp;D cost changes, material/supplier costs, SG&amp;A, other operating result, FX, consolidation, one-off rounding</t>
  </si>
  <si>
    <t xml:space="preserve">E32</t>
  </si>
  <si>
    <t xml:space="preserve">  Residual if A-04 false (H1 2026 impairments not in D&amp;A)</t>
  </si>
  <si>
    <t xml:space="preserve">G. Same bridge in margin points (pp) - closes exactly</t>
  </si>
  <si>
    <t xml:space="preserve">E33</t>
  </si>
  <si>
    <t xml:space="preserve">Change in reported margin</t>
  </si>
  <si>
    <t xml:space="preserve">E34</t>
  </si>
  <si>
    <t xml:space="preserve">  Revenue denominator effect</t>
  </si>
  <si>
    <t xml:space="preserve">prior EBIT x (1/rev_cur - 1/rev_prior)</t>
  </si>
  <si>
    <t xml:space="preserve">E35</t>
  </si>
  <si>
    <t xml:space="preserve">  Exceptional items</t>
  </si>
  <si>
    <t xml:space="preserve">E36</t>
  </si>
  <si>
    <t xml:space="preserve">E37</t>
  </si>
  <si>
    <t xml:space="preserve">E38</t>
  </si>
  <si>
    <t xml:space="preserve">E39</t>
  </si>
  <si>
    <t xml:space="preserve">E40</t>
  </si>
  <si>
    <t xml:space="preserve">  Residual / other EBIT drivers</t>
  </si>
  <si>
    <t xml:space="preserve">E41</t>
  </si>
  <si>
    <t xml:space="preserve">Check: components - total (must be 0)</t>
  </si>
  <si>
    <t xml:space="preserve">H. Porsche's own bridge buckets (reconciliation of the total)</t>
  </si>
  <si>
    <t xml:space="preserve">E42</t>
  </si>
  <si>
    <t xml:space="preserve">  Gross margin without R&amp;D</t>
  </si>
  <si>
    <t xml:space="preserve">Data_Panel B01 (decks S005/S007/S009/S011/S016; H2 = FY - H1)</t>
  </si>
  <si>
    <t xml:space="preserve">E43</t>
  </si>
  <si>
    <t xml:space="preserve">  R&amp;D</t>
  </si>
  <si>
    <t xml:space="preserve">E44</t>
  </si>
  <si>
    <t xml:space="preserve">  SG&amp;A</t>
  </si>
  <si>
    <t xml:space="preserve">E45</t>
  </si>
  <si>
    <t xml:space="preserve">  Other</t>
  </si>
  <si>
    <t xml:space="preserve">E46</t>
  </si>
  <si>
    <t xml:space="preserve">Sum of Porsche buckets</t>
  </si>
  <si>
    <t xml:space="preserve">E47</t>
  </si>
  <si>
    <t xml:space="preserve">Own change in EBIT - Porsche buckets</t>
  </si>
  <si>
    <t xml:space="preserve">E48</t>
  </si>
  <si>
    <t xml:space="preserve">Tolerance (Porsche rounding)</t>
  </si>
  <si>
    <t xml:space="preserve">H2 2024 derived from FY2024 buckets printed to EUR 0.1bn</t>
  </si>
  <si>
    <t xml:space="preserve">R&amp;D &amp; D&amp;A Analysis - capitalisation, P&amp;L charge and impairment treatment</t>
  </si>
  <si>
    <t xml:space="preserve">Automotive segment. Total R&amp;D costs are Porsche's accounting definition (not cash).</t>
  </si>
  <si>
    <t xml:space="preserve">Business question: Are non-cash accounting effects (R&amp;D capitalisation, depreciation, impairments) flattering or hurting EBIT?</t>
  </si>
  <si>
    <t xml:space="preserve">A. Automotive R&amp;D - total R&amp;D costs (Porsche definition) vs R&amp;D charged to the P&amp;L</t>
  </si>
  <si>
    <t xml:space="preserve">Total R&amp;D costs = research costs + non-capitalisable development costs + capitalisable development costs (Porsche definition). This is an accounting cost total, NOT a cash-flow figure.</t>
  </si>
  <si>
    <t xml:space="preserve">R01</t>
  </si>
  <si>
    <t xml:space="preserve">R02</t>
  </si>
  <si>
    <t xml:space="preserve">Total R&amp;D costs</t>
  </si>
  <si>
    <t xml:space="preserve">A05: S011 slide 34 (FY), S016 slide 25 (H1 2024-26), S002 p.29 (H1 2023)</t>
  </si>
  <si>
    <t xml:space="preserve">R03</t>
  </si>
  <si>
    <t xml:space="preserve">R04</t>
  </si>
  <si>
    <t xml:space="preserve">  Expensed R&amp;D</t>
  </si>
  <si>
    <t xml:space="preserve">R05</t>
  </si>
  <si>
    <t xml:space="preserve">R06</t>
  </si>
  <si>
    <t xml:space="preserve">R&amp;D charged to the P&amp;L (expensed + amortisation)</t>
  </si>
  <si>
    <t xml:space="preserve">R07</t>
  </si>
  <si>
    <t xml:space="preserve">Capitalisation rate (calculated)</t>
  </si>
  <si>
    <t xml:space="preserve">R08</t>
  </si>
  <si>
    <t xml:space="preserve">R09</t>
  </si>
  <si>
    <t xml:space="preserve">Check: calculated - published</t>
  </si>
  <si>
    <t xml:space="preserve">R10</t>
  </si>
  <si>
    <t xml:space="preserve">Net capitalisation (capitalised - amortised)</t>
  </si>
  <si>
    <t xml:space="preserve">&gt;0: P&amp;L charge below total R&amp;D costs</t>
  </si>
  <si>
    <t xml:space="preserve">R11</t>
  </si>
  <si>
    <t xml:space="preserve">Total R&amp;D costs / automotive revenue</t>
  </si>
  <si>
    <t xml:space="preserve">R12</t>
  </si>
  <si>
    <t xml:space="preserve">R&amp;D P&amp;L charge / automotive revenue</t>
  </si>
  <si>
    <t xml:space="preserve">R13</t>
  </si>
  <si>
    <t xml:space="preserve">P&amp;L charge at prior-year capitalisation rate (illustrative)</t>
  </si>
  <si>
    <t xml:space="preserve">Counterfactual: same total R&amp;D costs and amortisation, prior-year same-half rate</t>
  </si>
  <si>
    <t xml:space="preserve">R14</t>
  </si>
  <si>
    <t xml:space="preserve">EBIT effect of capitalisation-rate change (+ = extra cost)</t>
  </si>
  <si>
    <t xml:space="preserve">R15</t>
  </si>
  <si>
    <t xml:space="preserve">Change in R&amp;D P&amp;L charge</t>
  </si>
  <si>
    <t xml:space="preserve">R16</t>
  </si>
  <si>
    <t xml:space="preserve">Change in total R&amp;D costs</t>
  </si>
  <si>
    <t xml:space="preserve">R17</t>
  </si>
  <si>
    <t xml:space="preserve">Change in amortisation</t>
  </si>
  <si>
    <t xml:space="preserve">R18</t>
  </si>
  <si>
    <t xml:space="preserve">Check: total - capitalised - expensed (rounding)</t>
  </si>
  <si>
    <t xml:space="preserve">H2 2025 amortisation (FY - H1) most likely contains impairments of capitalised development costs; Porsche does not disclose the split.</t>
  </si>
  <si>
    <t xml:space="preserve">B. Automotive D&amp;A and impairment treatment</t>
  </si>
  <si>
    <t xml:space="preserve">R19</t>
  </si>
  <si>
    <t xml:space="preserve">A12: EBITDA tables and S011 slide 34 / S016 slide 25</t>
  </si>
  <si>
    <t xml:space="preserve">R20</t>
  </si>
  <si>
    <t xml:space="preserve">  Depreciation on capex (incl. impairments)</t>
  </si>
  <si>
    <t xml:space="preserve">H1 2023 = A12 - A09 (DERIVED)</t>
  </si>
  <si>
    <t xml:space="preserve">R21</t>
  </si>
  <si>
    <t xml:space="preserve">  Amortisation of capitalised R&amp;D</t>
  </si>
  <si>
    <t xml:space="preserve">R22</t>
  </si>
  <si>
    <t xml:space="preserve">Impairments disclosed inside D&amp;A</t>
  </si>
  <si>
    <t xml:space="preserve">X05: S002 p.38, S004 segment reporting (FY2023 = 2), S006 p.38, S008 segment reporting (FY2024 = 3), S010 p.32 (Cellforce 295), S012 segment reporting (FY2025 = 1,195; S011 slide 34 fn: around 1,200), S017 p.29 (43 + 18)</t>
  </si>
  <si>
    <t xml:space="preserve">R23</t>
  </si>
  <si>
    <t xml:space="preserve">Impairments removed (used)</t>
  </si>
  <si>
    <t xml:space="preserve">R24</t>
  </si>
  <si>
    <t xml:space="preserve">   treatment</t>
  </si>
  <si>
    <t xml:space="preserve">R25</t>
  </si>
  <si>
    <t xml:space="preserve">Clean automotive D&amp;A (excl. impairments)</t>
  </si>
  <si>
    <t xml:space="preserve">R26</t>
  </si>
  <si>
    <t xml:space="preserve">D&amp;A total / automotive revenue</t>
  </si>
  <si>
    <t xml:space="preserve">R27</t>
  </si>
  <si>
    <t xml:space="preserve">Clean D&amp;A / automotive revenue</t>
  </si>
  <si>
    <t xml:space="preserve">R28</t>
  </si>
  <si>
    <t xml:space="preserve">Clean depreciation on capex (where impairment line is known)</t>
  </si>
  <si>
    <t xml:space="preserve">H1 2025: Cellforce impairment sits in PP&amp;E depreciation (S010 p.32)</t>
  </si>
  <si>
    <t xml:space="preserve">R29</t>
  </si>
  <si>
    <t xml:space="preserve">Change in D&amp;A total</t>
  </si>
  <si>
    <t xml:space="preserve">R30</t>
  </si>
  <si>
    <t xml:space="preserve">Change in clean D&amp;A</t>
  </si>
  <si>
    <t xml:space="preserve">R31</t>
  </si>
  <si>
    <t xml:space="preserve">Check: D&amp;A - amortisation - depreciation (rounding)</t>
  </si>
  <si>
    <t xml:space="preserve">Commercial / Value-over-Volume Analysis</t>
  </si>
  <si>
    <t xml:space="preserve">Automotive segment. ASP uses Porsche's definition (automotive revenue / vehicles sold, wholesale).</t>
  </si>
  <si>
    <t xml:space="preserve">Business question: Is higher revenue per car compensating for lower volume?</t>
  </si>
  <si>
    <t xml:space="preserve">A. Revenue per vehicle sold (Porsche ASP definition) and volume</t>
  </si>
  <si>
    <t xml:space="preserve">V01</t>
  </si>
  <si>
    <t xml:space="preserve">V02</t>
  </si>
  <si>
    <t xml:space="preserve">Vehicle sales (wholesale units)</t>
  </si>
  <si>
    <t xml:space="preserve">O04: S025 fact sheet</t>
  </si>
  <si>
    <t xml:space="preserve">V03</t>
  </si>
  <si>
    <t xml:space="preserve">Deliveries to customers (retail units)</t>
  </si>
  <si>
    <t xml:space="preserve">V04</t>
  </si>
  <si>
    <t xml:space="preserve">Wholesale - retail units (proxy for channel stock change)</t>
  </si>
  <si>
    <t xml:space="preserve">PROXY</t>
  </si>
  <si>
    <t xml:space="preserve">V05</t>
  </si>
  <si>
    <t xml:space="preserve">ASP = automotive revenue per vehicle sold</t>
  </si>
  <si>
    <t xml:space="preserve">Porsche definition: automotive sales revenue / vehicles sold. Includes parts, services, non-vehicle revenue.</t>
  </si>
  <si>
    <t xml:space="preserve">V06</t>
  </si>
  <si>
    <t xml:space="preserve">ASP published by Porsche</t>
  </si>
  <si>
    <t xml:space="preserve">O06: S005 p.20, S009 p.32, S011 p.10, S016 p.10</t>
  </si>
  <si>
    <t xml:space="preserve">V07</t>
  </si>
  <si>
    <t xml:space="preserve">Check: calculated - published (published rounded to EUR 1k)</t>
  </si>
  <si>
    <t xml:space="preserve">V08</t>
  </si>
  <si>
    <t xml:space="preserve">Revenue per delivery (reference only; different denominator)</t>
  </si>
  <si>
    <t xml:space="preserve">V09</t>
  </si>
  <si>
    <t xml:space="preserve">BEV share of deliveries (published)</t>
  </si>
  <si>
    <t xml:space="preserve">B. Year-on-year: volume effect vs ASP effect on automotive revenue</t>
  </si>
  <si>
    <t xml:space="preserve">V10</t>
  </si>
  <si>
    <t xml:space="preserve">Change in vehicle sales</t>
  </si>
  <si>
    <t xml:space="preserve">V11</t>
  </si>
  <si>
    <t xml:space="preserve">Change in ASP</t>
  </si>
  <si>
    <t xml:space="preserve">V12</t>
  </si>
  <si>
    <t xml:space="preserve">Change in automotive revenue</t>
  </si>
  <si>
    <t xml:space="preserve">V13</t>
  </si>
  <si>
    <t xml:space="preserve">  Volume effect (unit change at prior-year ASP)</t>
  </si>
  <si>
    <t xml:space="preserve">V14</t>
  </si>
  <si>
    <t xml:space="preserve">  ASP effect (ASP change at current units)</t>
  </si>
  <si>
    <t xml:space="preserve">Residual of price, model mix, derivative mix, options, FX and non-vehicle revenue - NOT 'price'</t>
  </si>
  <si>
    <t xml:space="preserve">V15</t>
  </si>
  <si>
    <t xml:space="preserve">Check: volume + ASP effect - revenue change (must be 0)</t>
  </si>
  <si>
    <t xml:space="preserve">C. Delivery mix by model line (retail units; drives the ASP effect only indirectly)</t>
  </si>
  <si>
    <t xml:space="preserve">Data_Mix (S025)</t>
  </si>
  <si>
    <t xml:space="preserve">V16</t>
  </si>
  <si>
    <t xml:space="preserve">Total by model</t>
  </si>
  <si>
    <t xml:space="preserve">V17</t>
  </si>
  <si>
    <t xml:space="preserve">Check: model total - deliveries (must be 0)</t>
  </si>
  <si>
    <t xml:space="preserve">  share 911</t>
  </si>
  <si>
    <t xml:space="preserve">  share 718 Boxster/Cayman</t>
  </si>
  <si>
    <t xml:space="preserve">  share Cayenne</t>
  </si>
  <si>
    <t xml:space="preserve">  share Macan (total)</t>
  </si>
  <si>
    <t xml:space="preserve">  share Panamera</t>
  </si>
  <si>
    <t xml:space="preserve">  share Taycan</t>
  </si>
  <si>
    <t xml:space="preserve">  memo: Macan ICE (split published from FY2024)</t>
  </si>
  <si>
    <t xml:space="preserve">  memo: Macan BEV (split published from FY2024)</t>
  </si>
  <si>
    <t xml:space="preserve">D. Delivery mix by region</t>
  </si>
  <si>
    <t xml:space="preserve">V18</t>
  </si>
  <si>
    <t xml:space="preserve">Total by region</t>
  </si>
  <si>
    <t xml:space="preserve">V19</t>
  </si>
  <si>
    <t xml:space="preserve">Check: region total - deliveries (must be 0)</t>
  </si>
  <si>
    <t xml:space="preserve">  share North America</t>
  </si>
  <si>
    <t xml:space="preserve">  share Europe excl. Germany</t>
  </si>
  <si>
    <t xml:space="preserve">  share Germany</t>
  </si>
  <si>
    <t xml:space="preserve">  share China</t>
  </si>
  <si>
    <t xml:space="preserve">  share Overseas &amp; Emerging Markets</t>
  </si>
  <si>
    <t xml:space="preserve">Cash Cross-check - does cash confirm the profit picture?</t>
  </si>
  <si>
    <t xml:space="preserve">Automotive segment. Net cash flow per Porsche definition (fact sheet S025).</t>
  </si>
  <si>
    <t xml:space="preserve">Business question: Does automotive cash generation move with EBIT/EBITDA, or do timing items dominate?</t>
  </si>
  <si>
    <t xml:space="preserve">A. Automotive profit vs cash</t>
  </si>
  <si>
    <t xml:space="preserve">K01</t>
  </si>
  <si>
    <t xml:space="preserve">K02</t>
  </si>
  <si>
    <t xml:space="preserve">Automotive EBIT</t>
  </si>
  <si>
    <t xml:space="preserve">K03</t>
  </si>
  <si>
    <t xml:space="preserve">K04</t>
  </si>
  <si>
    <t xml:space="preserve">Cash flow from operating activities</t>
  </si>
  <si>
    <t xml:space="preserve">S025 sheet 02</t>
  </si>
  <si>
    <t xml:space="preserve">K05</t>
  </si>
  <si>
    <t xml:space="preserve">Investing activities of current operations</t>
  </si>
  <si>
    <t xml:space="preserve">K06</t>
  </si>
  <si>
    <t xml:space="preserve">K07</t>
  </si>
  <si>
    <t xml:space="preserve">Check: NCF - (CFO + investing)</t>
  </si>
  <si>
    <t xml:space="preserve">AF-12: H1 2024 NCF stored rounded (EUR 0.11m)</t>
  </si>
  <si>
    <t xml:space="preserve">K08</t>
  </si>
  <si>
    <t xml:space="preserve">B. Ratios and reconciliation to Porsche</t>
  </si>
  <si>
    <t xml:space="preserve">K09</t>
  </si>
  <si>
    <t xml:space="preserve">Net cash flow margin (NCF / automotive revenue)</t>
  </si>
  <si>
    <t xml:space="preserve">K10</t>
  </si>
  <si>
    <t xml:space="preserve">Published NCF margin (reference)</t>
  </si>
  <si>
    <t xml:space="preserve">Input: S009 slide 35 (H1 2024), S016 slide 13 (H1 2025, H1 2026)</t>
  </si>
  <si>
    <t xml:space="preserve">K11</t>
  </si>
  <si>
    <t xml:space="preserve">K12</t>
  </si>
  <si>
    <t xml:space="preserve">EBITDA margin (calculated)</t>
  </si>
  <si>
    <t xml:space="preserve">K13</t>
  </si>
  <si>
    <t xml:space="preserve">EBITDA margin (published)</t>
  </si>
  <si>
    <t xml:space="preserve">K14</t>
  </si>
  <si>
    <t xml:space="preserve">K15</t>
  </si>
  <si>
    <t xml:space="preserve">Operating cash flow / EBITDA</t>
  </si>
  <si>
    <t xml:space="preserve">x</t>
  </si>
  <si>
    <t xml:space="preserve">K16</t>
  </si>
  <si>
    <t xml:space="preserve">Net cash flow / automotive EBIT</t>
  </si>
  <si>
    <t xml:space="preserve">C. Simple cash proxy (EBITDA - capex - capitalised development costs) - PROXY</t>
  </si>
  <si>
    <t xml:space="preserve">K17</t>
  </si>
  <si>
    <t xml:space="preserve">K18</t>
  </si>
  <si>
    <t xml:space="preserve">Capitalised development costs (accounting amount used as investment proxy)</t>
  </si>
  <si>
    <t xml:space="preserve">K19</t>
  </si>
  <si>
    <t xml:space="preserve">Investment proxy (capex + capitalised development costs)</t>
  </si>
  <si>
    <t xml:space="preserve">K20</t>
  </si>
  <si>
    <t xml:space="preserve">Other investing outflow (-investing - investment proxy)</t>
  </si>
  <si>
    <t xml:space="preserve">K21</t>
  </si>
  <si>
    <t xml:space="preserve">Simple cash proxy</t>
  </si>
  <si>
    <t xml:space="preserve">K22</t>
  </si>
  <si>
    <t xml:space="preserve">NCF - proxy (working capital, tax, provisions, other)</t>
  </si>
  <si>
    <t xml:space="preserve">Cash notes (verified, mart.annotation)</t>
  </si>
  <si>
    <t xml:space="preserve">Net cash flow included ~EUR 0.5bn cash-outs for strategic realignment and US tariffs. [S009 slide 35]</t>
  </si>
  <si>
    <t xml:space="preserve">Net cash flow improved despite cash-outs of ~EUR 0.4bn (first Audi licence tranche, realignment); ~EUR 0.3bn additional outflow for pension funding. [S016 slide 13]</t>
  </si>
  <si>
    <t xml:space="preserve">FY2026 Guidance Scenarios - what the guidance arithmetically implies for H2 2026</t>
  </si>
  <si>
    <t xml:space="preserve">All rows are SCENARIO COMBINATIONS of the ends of Porsche's guidance ranges. They are NOT forecasts and carry NO probabilities. 'mid' = midpoint of every range, not a most-likely case.</t>
  </si>
  <si>
    <t xml:space="preserve">Business question: If Porsche meets its FY2026 guidance, what must H2 2026 look like - reported and excluding exceptional items?</t>
  </si>
  <si>
    <t xml:space="preserve">SCENARIO COMBINATIONS - NOT FORECASTS - NO PROBABILITIES</t>
  </si>
  <si>
    <t xml:space="preserve">guidance_id</t>
  </si>
  <si>
    <t xml:space="preserve">metric</t>
  </si>
  <si>
    <t xml:space="preserve">low</t>
  </si>
  <si>
    <t xml:space="preserve">mid</t>
  </si>
  <si>
    <t xml:space="preserve">high</t>
  </si>
  <si>
    <t xml:space="preserve">basis</t>
  </si>
  <si>
    <t xml:space="preserve">label</t>
  </si>
  <si>
    <t xml:space="preserve">source</t>
  </si>
  <si>
    <t xml:space="preserve">source ref</t>
  </si>
  <si>
    <t xml:space="preserve">GD_BEV</t>
  </si>
  <si>
    <t xml:space="preserve">Automotive BEV share</t>
  </si>
  <si>
    <t xml:space="preserve">Share of deliveries</t>
  </si>
  <si>
    <t xml:space="preserve">slide 14</t>
  </si>
  <si>
    <t xml:space="preserve">GD_EBITDA</t>
  </si>
  <si>
    <t xml:space="preserve">Automotive EBITDA / automotive revenue</t>
  </si>
  <si>
    <t xml:space="preserve">GD_EXTRA</t>
  </si>
  <si>
    <t xml:space="preserve">Extraordinary expenses (net)</t>
  </si>
  <si>
    <t xml:space="preserve">Net, same basis as H1 2026 net EUR ~0.1bn (CFO compared the two directly). Transcript-derived (S027, tier 3): stated by the CFO on the H1 2026 call, not in Porsche written guidance</t>
  </si>
  <si>
    <t xml:space="preserve">S027</t>
  </si>
  <si>
    <t xml:space="preserve">CFO outlook remarks and answer on H2 visibility</t>
  </si>
  <si>
    <t xml:space="preserve">GD_NCF</t>
  </si>
  <si>
    <t xml:space="preserve">Automotive net cash flow margin</t>
  </si>
  <si>
    <t xml:space="preserve">Automotive net cash flow / automotive revenue</t>
  </si>
  <si>
    <t xml:space="preserve">GD_REV</t>
  </si>
  <si>
    <t xml:space="preserve">Group, full year</t>
  </si>
  <si>
    <t xml:space="preserve">slide 14 (2026 outlook, confirmed at H1 2026)</t>
  </si>
  <si>
    <t xml:space="preserve">GD_ROS</t>
  </si>
  <si>
    <t xml:space="preserve">Group return on sales</t>
  </si>
  <si>
    <t xml:space="preserve">Group EBIT / group revenue, full year</t>
  </si>
  <si>
    <t xml:space="preserve">% ranges entered as fractions (5.5% = 0.055). GD_EXTRA comes from the CFO statement on the H1 2026 call (S027, Tier 3 record); consistent with S018 ('three-digit-million amount in H2').</t>
  </si>
  <si>
    <t xml:space="preserve">ref</t>
  </si>
  <si>
    <t xml:space="preserve">H1 2026 actuals and assumptions</t>
  </si>
  <si>
    <t xml:space="preserve">lineage</t>
  </si>
  <si>
    <t xml:space="preserve">h1rev</t>
  </si>
  <si>
    <t xml:space="preserve">Group revenue H1 2026</t>
  </si>
  <si>
    <t xml:space="preserve">EBIT_Analysis E01</t>
  </si>
  <si>
    <t xml:space="preserve">h1ebit</t>
  </si>
  <si>
    <t xml:space="preserve">Reported EBIT H1 2026 (L0)</t>
  </si>
  <si>
    <t xml:space="preserve">EBIT_Analysis E02</t>
  </si>
  <si>
    <t xml:space="preserve">h1exc</t>
  </si>
  <si>
    <t xml:space="preserve">Exceptional items H1 2026 (net, X01)</t>
  </si>
  <si>
    <t xml:space="preserve">EBIT_Analysis E06</t>
  </si>
  <si>
    <t xml:space="preserve">h1tar</t>
  </si>
  <si>
    <t xml:space="preserve">US tariffs H1 2026 (X03)</t>
  </si>
  <si>
    <t xml:space="preserve">EBIT_Analysis E07</t>
  </si>
  <si>
    <t xml:space="preserve">h1m0</t>
  </si>
  <si>
    <t xml:space="preserve">Reported margin H1 2026</t>
  </si>
  <si>
    <t xml:space="preserve">EBIT_Analysis E03</t>
  </si>
  <si>
    <t xml:space="preserve">h1m1</t>
  </si>
  <si>
    <t xml:space="preserve">L1 margin H1 2026</t>
  </si>
  <si>
    <t xml:space="preserve">EBIT_Analysis E09</t>
  </si>
  <si>
    <t xml:space="preserve">h1m2</t>
  </si>
  <si>
    <t xml:space="preserve">L2 margin H1 2026</t>
  </si>
  <si>
    <t xml:space="preserve">EBIT_Analysis E11</t>
  </si>
  <si>
    <t xml:space="preserve">h2m0</t>
  </si>
  <si>
    <t xml:space="preserve">Reported margin H2 2025 (actual, DERIVED)</t>
  </si>
  <si>
    <t xml:space="preserve">h2m1</t>
  </si>
  <si>
    <t xml:space="preserve">L1 margin H2 2025 (actual, DERIVED)</t>
  </si>
  <si>
    <t xml:space="preserve">h1arev</t>
  </si>
  <si>
    <t xml:space="preserve">Automotive revenue H1 2026</t>
  </si>
  <si>
    <t xml:space="preserve">Cash_Crosscheck K01</t>
  </si>
  <si>
    <t xml:space="preserve">h1aeb</t>
  </si>
  <si>
    <t xml:space="preserve">Automotive EBITDA H1 2026</t>
  </si>
  <si>
    <t xml:space="preserve">Cash_Crosscheck K03</t>
  </si>
  <si>
    <t xml:space="preserve">h1ancf</t>
  </si>
  <si>
    <t xml:space="preserve">Automotive net cash flow H1 2026</t>
  </si>
  <si>
    <t xml:space="preserve">Cash_Crosscheck K06</t>
  </si>
  <si>
    <t xml:space="preserve">share</t>
  </si>
  <si>
    <t xml:space="preserve">A-05: automotive share of group revenue (H1 2026)</t>
  </si>
  <si>
    <t xml:space="preserve">Assumption A-05</t>
  </si>
  <si>
    <t xml:space="preserve">h2tar</t>
  </si>
  <si>
    <t xml:space="preserve">A-07: H2 2026 tariffs = H1 2026 tariffs</t>
  </si>
  <si>
    <t xml:space="preserve">Assumption A-07 (base)</t>
  </si>
  <si>
    <t xml:space="preserve">h2tar_alt</t>
  </si>
  <si>
    <t xml:space="preserve">A-07 sensitivity: H2 2026 tariffs (CFO call remark FY ~700m -&gt; H2 ~300m)</t>
  </si>
  <si>
    <t xml:space="preserve">Input: S027 H1 2026 earnings-call transcript (tier 3, not written guidance)</t>
  </si>
  <si>
    <t xml:space="preserve">Selected scenario combination (choose low / mid / high)</t>
  </si>
  <si>
    <t xml:space="preserve">Revenue range end</t>
  </si>
  <si>
    <t xml:space="preserve">Return-on-sales range end</t>
  </si>
  <si>
    <t xml:space="preserve">Extraordinary-expense range end</t>
  </si>
  <si>
    <t xml:space="preserve">FY2026 EBIT implied (revenue x RoS)</t>
  </si>
  <si>
    <t xml:space="preserve">H2 2026 revenue implied</t>
  </si>
  <si>
    <t xml:space="preserve">H2 2026 reported EBIT implied</t>
  </si>
  <si>
    <t xml:space="preserve">H2 2026 reported margin implied</t>
  </si>
  <si>
    <t xml:space="preserve">H2 2026 exceptional items implied (FY - H1 net)</t>
  </si>
  <si>
    <t xml:space="preserve">H2 2026 L1 margin implied</t>
  </si>
  <si>
    <t xml:space="preserve">H2 2026 L2 margin implied (A-07 base)</t>
  </si>
  <si>
    <t xml:space="preserve">H2 2026 L2 margin implied (A-07 sensitivity)</t>
  </si>
  <si>
    <t xml:space="preserve">Compare: H1 2026 L1 margin (actual)</t>
  </si>
  <si>
    <t xml:space="preserve">All 27 scenario combinations (group) - arithmetic only</t>
  </si>
  <si>
    <t xml:space="preserve">scenario type</t>
  </si>
  <si>
    <t xml:space="preserve">revenue</t>
  </si>
  <si>
    <t xml:space="preserve">RoS</t>
  </si>
  <si>
    <t xml:space="preserve">extraord.</t>
  </si>
  <si>
    <t xml:space="preserve">FY revenue</t>
  </si>
  <si>
    <t xml:space="preserve">FY RoS</t>
  </si>
  <si>
    <t xml:space="preserve">FY extraord.</t>
  </si>
  <si>
    <t xml:space="preserve">FY EBIT</t>
  </si>
  <si>
    <t xml:space="preserve">H2 revenue</t>
  </si>
  <si>
    <t xml:space="preserve">H2 EBIT L0</t>
  </si>
  <si>
    <t xml:space="preserve">H2 margin L0</t>
  </si>
  <si>
    <t xml:space="preserve">H2 exc. implied</t>
  </si>
  <si>
    <t xml:space="preserve">H2 EBIT L1</t>
  </si>
  <si>
    <t xml:space="preserve">H2 margin L1</t>
  </si>
  <si>
    <t xml:space="preserve">H2 margin L2</t>
  </si>
  <si>
    <t xml:space="preserve">Scenario combination - not a forecast; no probability</t>
  </si>
  <si>
    <t xml:space="preserve">Summary across the 27 scenario combinations (min / all-midpoints / max) vs actuals</t>
  </si>
  <si>
    <t xml:space="preserve">H2 2026 implied</t>
  </si>
  <si>
    <t xml:space="preserve">min</t>
  </si>
  <si>
    <t xml:space="preserve">all midpoints</t>
  </si>
  <si>
    <t xml:space="preserve">max</t>
  </si>
  <si>
    <t xml:space="preserve">H1 2026 actual</t>
  </si>
  <si>
    <t xml:space="preserve">H2 2025 actual</t>
  </si>
  <si>
    <t xml:space="preserve">Reported margin (L0)</t>
  </si>
  <si>
    <t xml:space="preserve">L1 margin (excl. realignment &amp; battery)</t>
  </si>
  <si>
    <t xml:space="preserve">L2 margin (also excl. tariffs, A-07)</t>
  </si>
  <si>
    <t xml:space="preserve">H2 revenue (EUR m)</t>
  </si>
  <si>
    <t xml:space="preserve">H2 reported EBIT (EUR m)</t>
  </si>
  <si>
    <t xml:space="preserve">Reading: the midpoint column combines all guidance midpoints. A scenario range wider than the guidance itself is expected because the corners are combined independently (assumption A-08).</t>
  </si>
  <si>
    <t xml:space="preserve">Automotive: 9 scenario combinations (revenue end x margin end) - arithmetic only</t>
  </si>
  <si>
    <t xml:space="preserve">margins</t>
  </si>
  <si>
    <t xml:space="preserve">FY group rev</t>
  </si>
  <si>
    <t xml:space="preserve">A-05 share</t>
  </si>
  <si>
    <t xml:space="preserve">FY auto rev</t>
  </si>
  <si>
    <t xml:space="preserve">H2 auto rev</t>
  </si>
  <si>
    <t xml:space="preserve">FY EBITDA m.</t>
  </si>
  <si>
    <t xml:space="preserve">H2 EBITDA m.</t>
  </si>
  <si>
    <t xml:space="preserve">FY NCF m.</t>
  </si>
  <si>
    <t xml:space="preserve">H2 NCF m.</t>
  </si>
  <si>
    <t xml:space="preserve">H1 26 EBITDA m.</t>
  </si>
  <si>
    <t xml:space="preserve">H1 26 NCF m.</t>
  </si>
  <si>
    <t xml:space="preserve">Audit_Checks - model integrity and reconciliation to SQL</t>
  </si>
  <si>
    <t xml:space="preserve">Every check is a formula. PASS = within tolerance. Tolerances reflect source rounding.</t>
  </si>
  <si>
    <t xml:space="preserve">Overall model status</t>
  </si>
  <si>
    <t xml:space="preserve">Check</t>
  </si>
  <si>
    <t xml:space="preserve">Category</t>
  </si>
  <si>
    <t xml:space="preserve">Expected</t>
  </si>
  <si>
    <t xml:space="preserve">Actual</t>
  </si>
  <si>
    <t xml:space="preserve">Difference</t>
  </si>
  <si>
    <t xml:space="preserve">Tolerance</t>
  </si>
  <si>
    <t xml:space="preserve">Status</t>
  </si>
  <si>
    <t xml:space="preserve">What it proves</t>
  </si>
  <si>
    <t xml:space="preserve">C01</t>
  </si>
  <si>
    <t xml:space="preserve">Data_Long rows imported = rows exported from SQL (238)</t>
  </si>
  <si>
    <t xml:space="preserve">Import</t>
  </si>
  <si>
    <t xml:space="preserve">Complete import</t>
  </si>
  <si>
    <t xml:space="preserve">C02</t>
  </si>
  <si>
    <t xml:space="preserve">Data_Panel holds every imported value of the panel variables</t>
  </si>
  <si>
    <t xml:space="preserve">Pivot loses nothing</t>
  </si>
  <si>
    <t xml:space="preserve">C03</t>
  </si>
  <si>
    <t xml:space="preserve">Source register rows imported</t>
  </si>
  <si>
    <t xml:space="preserve">Lineage table complete</t>
  </si>
  <si>
    <t xml:space="preserve">C04</t>
  </si>
  <si>
    <t xml:space="preserve">L0 reported EBIT = SQL v_ebit_adjusted (sum of abs. differences, 7 periods)</t>
  </si>
  <si>
    <t xml:space="preserve">Excel vs SQL</t>
  </si>
  <si>
    <t xml:space="preserve">Excel formulas reproduce the validated SQL mart</t>
  </si>
  <si>
    <t xml:space="preserve">C05</t>
  </si>
  <si>
    <t xml:space="preserve">L1 EBIT = SQL</t>
  </si>
  <si>
    <t xml:space="preserve">C06</t>
  </si>
  <si>
    <t xml:space="preserve">L2 EBIT = SQL</t>
  </si>
  <si>
    <t xml:space="preserve">C07</t>
  </si>
  <si>
    <t xml:space="preserve">L3 hybrid sensitivity = SQL</t>
  </si>
  <si>
    <t xml:space="preserve">C08</t>
  </si>
  <si>
    <t xml:space="preserve">L0 margin = SQL (SQL rounded to 0.01pp)</t>
  </si>
  <si>
    <t xml:space="preserve">C09</t>
  </si>
  <si>
    <t xml:space="preserve">L1 margin = SQL</t>
  </si>
  <si>
    <t xml:space="preserve">C10</t>
  </si>
  <si>
    <t xml:space="preserve">L2 margin = SQL</t>
  </si>
  <si>
    <t xml:space="preserve">C11</t>
  </si>
  <si>
    <t xml:space="preserve">Clean D&amp;A = SQL v_da_clean</t>
  </si>
  <si>
    <t xml:space="preserve">C12</t>
  </si>
  <si>
    <t xml:space="preserve">R&amp;D P&amp;L charge = SQL v_rd_capitalisation</t>
  </si>
  <si>
    <t xml:space="preserve">C13</t>
  </si>
  <si>
    <t xml:space="preserve">Capitalisation-rate effect = SQL (5 comparable periods; SQL rounded to 0.1)</t>
  </si>
  <si>
    <t xml:space="preserve">C14</t>
  </si>
  <si>
    <t xml:space="preserve">ASP = SQL v_asp_volume (SQL rounded to 0.01)</t>
  </si>
  <si>
    <t xml:space="preserve">C15</t>
  </si>
  <si>
    <t xml:space="preserve">Volume effect = SQL (SQL rounded to 0.1)</t>
  </si>
  <si>
    <t xml:space="preserve">C16</t>
  </si>
  <si>
    <t xml:space="preserve">ASP effect = SQL</t>
  </si>
  <si>
    <t xml:space="preserve">C17</t>
  </si>
  <si>
    <t xml:space="preserve">NCF margin = SQL v_cash_crosscheck</t>
  </si>
  <si>
    <t xml:space="preserve">C18</t>
  </si>
  <si>
    <t xml:space="preserve">Simple cash proxy = SQL</t>
  </si>
  <si>
    <t xml:space="preserve">C19</t>
  </si>
  <si>
    <t xml:space="preserve">Bridge residual / other drivers = SQL v_ebit_bridge_yoy</t>
  </si>
  <si>
    <t xml:space="preserve">C20</t>
  </si>
  <si>
    <t xml:space="preserve">Bridge residual in pp = SQL (SQL rounded to 0.001pp)</t>
  </si>
  <si>
    <t xml:space="preserve">C21</t>
  </si>
  <si>
    <t xml:space="preserve">Guidance summary (L0/L1/L2 min, mid, max) = SQL v_guidance_2026_summary</t>
  </si>
  <si>
    <t xml:space="preserve">Scenario arithmetic reproduces SQL</t>
  </si>
  <si>
    <t xml:space="preserve">C22</t>
  </si>
  <si>
    <t xml:space="preserve">All 27 guidance scenario combinations (L0/L1/L2 H2 margins) = SQL v_guidance_2026</t>
  </si>
  <si>
    <t xml:space="preserve">Every grid row reproduces SQL</t>
  </si>
  <si>
    <t xml:space="preserve">C23</t>
  </si>
  <si>
    <t xml:space="preserve">Automotive guidance combinations = SQL v_guidance_2026_auto</t>
  </si>
  <si>
    <t xml:space="preserve">Automotive scenario arithmetic reproduces SQL</t>
  </si>
  <si>
    <t xml:space="preserve">C24</t>
  </si>
  <si>
    <t xml:space="preserve">R&amp;D identity: total - capitalised - expensed (sum of abs., EUR 1m rounding)</t>
  </si>
  <si>
    <t xml:space="preserve">Identity</t>
  </si>
  <si>
    <t xml:space="preserve">R&amp;D table internally consistent</t>
  </si>
  <si>
    <t xml:space="preserve">C25</t>
  </si>
  <si>
    <t xml:space="preserve">D&amp;A identity: total - amortisation - depreciation</t>
  </si>
  <si>
    <t xml:space="preserve">D&amp;A table internally consistent</t>
  </si>
  <si>
    <t xml:space="preserve">C26</t>
  </si>
  <si>
    <t xml:space="preserve">EBITDA = automotive EBIT + D&amp;A</t>
  </si>
  <si>
    <t xml:space="preserve">Segment EBITDA consistent with D&amp;A</t>
  </si>
  <si>
    <t xml:space="preserve">C27</t>
  </si>
  <si>
    <t xml:space="preserve">Margin-point bridge closes (components - total)</t>
  </si>
  <si>
    <t xml:space="preserve">pp bridge exact</t>
  </si>
  <si>
    <t xml:space="preserve">C28</t>
  </si>
  <si>
    <t xml:space="preserve">Reported margin = Porsche published return on sales (0.1pp rounding)</t>
  </si>
  <si>
    <t xml:space="preserve">Porsche reconciliation</t>
  </si>
  <si>
    <t xml:space="preserve">Calculation matches Porsche</t>
  </si>
  <si>
    <t xml:space="preserve">C29</t>
  </si>
  <si>
    <t xml:space="preserve">Own EBIT change = Porsche bridge buckets (periods outside tolerance)</t>
  </si>
  <si>
    <t xml:space="preserve">Our bridge total agrees with Porsche</t>
  </si>
  <si>
    <t xml:space="preserve">C30</t>
  </si>
  <si>
    <t xml:space="preserve">Capitalisation rate = published (max abs. diff, pp)</t>
  </si>
  <si>
    <t xml:space="preserve">C31</t>
  </si>
  <si>
    <t xml:space="preserve">ASP = published ASP (max abs. diff, EUR k; published rounded to 1k)</t>
  </si>
  <si>
    <t xml:space="preserve">Porsche ASP definition reproduced</t>
  </si>
  <si>
    <t xml:space="preserve">C32</t>
  </si>
  <si>
    <t xml:space="preserve">NCF margin = published (max abs. diff, pp)</t>
  </si>
  <si>
    <t xml:space="preserve">C33</t>
  </si>
  <si>
    <t xml:space="preserve">EBITDA margin = published (max abs. diff, pp)</t>
  </si>
  <si>
    <t xml:space="preserve">C34</t>
  </si>
  <si>
    <t xml:space="preserve">Volume + ASP effect = revenue change</t>
  </si>
  <si>
    <t xml:space="preserve">Revenue bridge exact</t>
  </si>
  <si>
    <t xml:space="preserve">C35</t>
  </si>
  <si>
    <t xml:space="preserve">Deliveries by model and by region = total deliveries</t>
  </si>
  <si>
    <t xml:space="preserve">Mix tables complete</t>
  </si>
  <si>
    <t xml:space="preserve">C36</t>
  </si>
  <si>
    <t xml:space="preserve">NCF = operating + investing cash flow (AF-12 rounding)</t>
  </si>
  <si>
    <t xml:space="preserve">Cash data consistent</t>
  </si>
  <si>
    <t xml:space="preserve">C37</t>
  </si>
  <si>
    <t xml:space="preserve">Guidance grid: 27 combinations and FY EBIT = H1 2026 EBIT + H2 EBIT</t>
  </si>
  <si>
    <t xml:space="preserve">Scenario arithmetic consistent</t>
  </si>
  <si>
    <t xml:space="preserve">C38</t>
  </si>
  <si>
    <t xml:space="preserve">Labelling: every guidance row says 'not a forecast'</t>
  </si>
  <si>
    <t xml:space="preserve">Labelling</t>
  </si>
  <si>
    <t xml:space="preserve">Scenarios cannot be mistaken for forecasts</t>
  </si>
  <si>
    <t xml:space="preserve">C39</t>
  </si>
  <si>
    <t xml:space="preserve">Labelling: L3 section flagged as supplementary hybrid sensitivity</t>
  </si>
  <si>
    <t xml:space="preserve">L3 cannot be mistaken for the headline KPI</t>
  </si>
  <si>
    <t xml:space="preserve">C40</t>
  </si>
  <si>
    <t xml:space="preserve">SQL data-quality checks (Phase 3 + 4): FAIL count</t>
  </si>
  <si>
    <t xml:space="preserve">SQL</t>
  </si>
  <si>
    <t xml:space="preserve">Upstream database validated</t>
  </si>
  <si>
    <t xml:space="preserve">C41</t>
  </si>
  <si>
    <t xml:space="preserve">Data_Long: every (period_code, var_id) pair is unique (max count)</t>
  </si>
  <si>
    <t xml:space="preserve">Lookup integrity</t>
  </si>
  <si>
    <t xml:space="preserve">Two-key SUMIFS can never add two rows together</t>
  </si>
  <si>
    <t xml:space="preserve">C42</t>
  </si>
  <si>
    <t xml:space="preserve">Data_Panel round-trip: each Data_Long value read back from the panel grid (sum of abs. differences)</t>
  </si>
  <si>
    <t xml:space="preserve">Every panel cell holds the value of its own period and variable</t>
  </si>
  <si>
    <t xml:space="preserve">C43</t>
  </si>
  <si>
    <t xml:space="preserve">Anchor A01: 2023-H1 Group revenue (EUR m) displayed on KPI_Overview = SQL core.fact_financial G01 (20,430.922514)</t>
  </si>
  <si>
    <t xml:space="preserve">Anchor (displayed vs SQL)</t>
  </si>
  <si>
    <t xml:space="preserve">Displayed value KPI_Overview!D6 equals the SQL export</t>
  </si>
  <si>
    <t xml:space="preserve">C44</t>
  </si>
  <si>
    <t xml:space="preserve">Anchor A02: 2023-H1 Group EBIT (EUR m) displayed on KPI_Overview = SQL v_ebit_adjusted (3,852.235213)</t>
  </si>
  <si>
    <t xml:space="preserve">Displayed value KPI_Overview!D7 equals the SQL export</t>
  </si>
  <si>
    <t xml:space="preserve">C45</t>
  </si>
  <si>
    <t xml:space="preserve">Anchor A03: 2025-H1 Group EBIT (EUR m) displayed on KPI_Overview = SQL v_ebit_adjusted (1,006.791297)</t>
  </si>
  <si>
    <t xml:space="preserve">Displayed value KPI_Overview!H7 equals the SQL export</t>
  </si>
  <si>
    <t xml:space="preserve">C46</t>
  </si>
  <si>
    <t xml:space="preserve">Anchor A04: 2026-H1 Group EBIT (EUR m) displayed on KPI_Overview = SQL v_ebit_adjusted (1,348.185049)</t>
  </si>
  <si>
    <t xml:space="preserve">Displayed value KPI_Overview!J7 equals the SQL export</t>
  </si>
  <si>
    <t xml:space="preserve">C47</t>
  </si>
  <si>
    <t xml:space="preserve">Anchor A05: 2026-H1 reported margin (%, SQL rounded 0.01) displayed on KPI_Overview = SQL v_ebit_adjusted (7.820000)</t>
  </si>
  <si>
    <t xml:space="preserve">Displayed value KPI_Overview!J8 equals the SQL export</t>
  </si>
  <si>
    <t xml:space="preserve">C48</t>
  </si>
  <si>
    <t xml:space="preserve">Anchor A06: 2026-H1 L1 EBIT (EUR m) displayed on KPI_Overview = SQL v_ebit_adjusted (1,448.185049)</t>
  </si>
  <si>
    <t xml:space="preserve">Displayed value KPI_Overview!J9 equals the SQL export</t>
  </si>
  <si>
    <t xml:space="preserve">C49</t>
  </si>
  <si>
    <t xml:space="preserve">Anchor A07: 2026-H1 L1 margin (%, SQL rounded 0.01) displayed on KPI_Overview = SQL v_ebit_adjusted (8.410000)</t>
  </si>
  <si>
    <t xml:space="preserve">Displayed value KPI_Overview!J10 equals the SQL export</t>
  </si>
  <si>
    <t xml:space="preserve">C50</t>
  </si>
  <si>
    <t xml:space="preserve">Anchor A08: 2026-H1 ASP (EUR k, SQL rounded 0.01) displayed on KPI_Overview = SQL v_asp_volume (125.780000)</t>
  </si>
  <si>
    <t xml:space="preserve">Displayed value KPI_Overview!J15 equals the SQL export</t>
  </si>
  <si>
    <t xml:space="preserve">Audit_Register - sources, assumptions, known gaps, audit findings, SQL documentation</t>
  </si>
  <si>
    <t xml:space="preserve">Imported from the PostgreSQL audit and mart schemas (controlled text; do not edit).</t>
  </si>
  <si>
    <t xml:space="preserve">1. Source register (audit.dim_source)</t>
  </si>
  <si>
    <t xml:space="preserve">tier</t>
  </si>
  <si>
    <t xml:space="preserve">publisher</t>
  </si>
  <si>
    <t xml:space="preserve">document_title</t>
  </si>
  <si>
    <t xml:space="preserve">doc_type</t>
  </si>
  <si>
    <t xml:space="preserve">reporting_period</t>
  </si>
  <si>
    <t xml:space="preserve">publication_date</t>
  </si>
  <si>
    <t xml:space="preserve">url</t>
  </si>
  <si>
    <t xml:space="preserve">S001</t>
  </si>
  <si>
    <t xml:space="preserve">1</t>
  </si>
  <si>
    <t xml:space="preserve">Porsche AG</t>
  </si>
  <si>
    <t xml:space="preserve">Press &amp; Analyst Call H1 2023 (presentation)</t>
  </si>
  <si>
    <t xml:space="preserve">Presentation</t>
  </si>
  <si>
    <t xml:space="preserve">H1 2023</t>
  </si>
  <si>
    <t xml:space="preserve">2023-07</t>
  </si>
  <si>
    <t xml:space="preserve">https://investorrelations.porsche.com/~/media/Files/P/porsche-ir/results-and-presentations/financial-reports-and-presentation/2023/q2/q2-2023-presentation.pdf</t>
  </si>
  <si>
    <t xml:space="preserve">Half-Year Financial Report Jan-Jun 2023</t>
  </si>
  <si>
    <t xml:space="preserve">Half-year report</t>
  </si>
  <si>
    <t xml:space="preserve">https://investorrelations.porsche.com/~/media/Files/P/porsche-ir/results-and-presentations/financial-reports-and-presentation/2023/q2/half-year-financial-report-2023.pdf</t>
  </si>
  <si>
    <t xml:space="preserve">S003</t>
  </si>
  <si>
    <t xml:space="preserve">Annual Press &amp; Analyst Conference FY2023 (presentation)</t>
  </si>
  <si>
    <t xml:space="preserve">FY 2023</t>
  </si>
  <si>
    <t xml:space="preserve">2024-03</t>
  </si>
  <si>
    <t xml:space="preserve">https://investorrelations.porsche.com/~/media/Files/P/porsche-ir/results-and-presentations/financial-reports-and-presentation/2023/q4-and-full-year/fy-2023-presentation.pdf</t>
  </si>
  <si>
    <t xml:space="preserve">S004</t>
  </si>
  <si>
    <t xml:space="preserve">Annual &amp; Sustainability Report 2023 (IFRS)</t>
  </si>
  <si>
    <t xml:space="preserve">Annual report</t>
  </si>
  <si>
    <t xml:space="preserve">https://investorrelations.porsche.com/~/media/Files/P/porsche-ir/results-and-presentations/financial-reports-and-presentation/2023/q4-and-full-year/annual-and-sustainability-report-2023-porsche-ag-consolidated-financial-statements-ifrs.pdf</t>
  </si>
  <si>
    <t xml:space="preserve">Press &amp; Analyst Call H1 2024 (presentation)</t>
  </si>
  <si>
    <t xml:space="preserve">H1 2024</t>
  </si>
  <si>
    <t xml:space="preserve">2024-07</t>
  </si>
  <si>
    <t xml:space="preserve">https://investorrelations.porsche.com/~/media/Files/P/porsche-ir/results-and-presentations/financial-reports-and-presentation/2024/q2/q2-2024-presentation.pdf</t>
  </si>
  <si>
    <t xml:space="preserve">Half-Year Financial Report Jan-Jun 2024</t>
  </si>
  <si>
    <t xml:space="preserve">https://investorrelations.porsche.com/~/media/Files/P/porsche-ir/results-and-presentations/financial-reports-and-presentation/2024/q2/half-year-financial-report-2024.pdf</t>
  </si>
  <si>
    <t xml:space="preserve">S007</t>
  </si>
  <si>
    <t xml:space="preserve">Annual Press &amp; Analyst Conference FY2024 (presentation)</t>
  </si>
  <si>
    <t xml:space="preserve">FY 2024</t>
  </si>
  <si>
    <t xml:space="preserve">2025-03</t>
  </si>
  <si>
    <t xml:space="preserve">https://investorrelations.porsche.com/~/media/Files/P/porsche-ir/results-and-presentations/financial-reports-and-presentation/2024/q4-and-full-year/fy24-presentation.pdf</t>
  </si>
  <si>
    <t xml:space="preserve">S008</t>
  </si>
  <si>
    <t xml:space="preserve">Annual &amp; Sustainability Report 2024 (IFRS)</t>
  </si>
  <si>
    <t xml:space="preserve">https://investorrelations.porsche.com/~/media/Files/P/porsche-ir/results-and-presentations/financial-reports-and-presentation/2024/q4-and-full-year/annual-and-sustainability-report-2024-porsche-ag-consolidated-financial-statements-ifrs.pdf</t>
  </si>
  <si>
    <t xml:space="preserve">Press &amp; Analyst Call H1 2025 (presentation)</t>
  </si>
  <si>
    <t xml:space="preserve">2025-07-30</t>
  </si>
  <si>
    <t xml:space="preserve">https://investorrelations.porsche.com/~/media/Files/P/porsche-ir/results-and-presentations/financial-reports-and-presentation/2025/q2/h1-2025-presentation-1.pdf</t>
  </si>
  <si>
    <t xml:space="preserve">Half-Year Financial Report Jan-Jun 2025</t>
  </si>
  <si>
    <t xml:space="preserve">https://investorrelations.porsche.com/~/media/Files/P/porsche-ir/results-and-presentations/financial-reports-and-presentation/2025/q2/half-year-financial-report-2025-en.pdf</t>
  </si>
  <si>
    <t xml:space="preserve">S011</t>
  </si>
  <si>
    <t xml:space="preserve">Annual Press &amp; Analyst Conference FY2025 (presentation)</t>
  </si>
  <si>
    <t xml:space="preserve">FY 2025</t>
  </si>
  <si>
    <t xml:space="preserve">2026-03-11</t>
  </si>
  <si>
    <t xml:space="preserve">https://investorrelations.porsche.com/~/media/Files/P/porsche-ir/results-and-presentations-de/financial-reports-and-presentation/2025/q4-and-full-year/FY25%20Presentation.pdf</t>
  </si>
  <si>
    <t xml:space="preserve">S012</t>
  </si>
  <si>
    <t xml:space="preserve">Annual &amp; Sustainability Report 2025 (IFRS)</t>
  </si>
  <si>
    <t xml:space="preserve">https://investorrelations.porsche.com/~/media/Files/P/porsche-ir/results-and-presentations/financial-reports-and-presentation/2025/q4/annual-and-sustainability-report-2025-porsche-ag-consolidated-financial-statements-ifrs.pdf</t>
  </si>
  <si>
    <t xml:space="preserve">S013</t>
  </si>
  <si>
    <t xml:space="preserve">Annual Report 2025 online - Results of Operations, Financial Position and Net Assets</t>
  </si>
  <si>
    <t xml:space="preserve">Annual report (web)</t>
  </si>
  <si>
    <t xml:space="preserve">https://newsroom.porsche.com/en/annual-sustainability-report/combined-management-report/results-of-operations-financial-position-and-net-assets/</t>
  </si>
  <si>
    <t xml:space="preserve">S014</t>
  </si>
  <si>
    <t xml:space="preserve">Annual Report 2025 online - Business Development (production by plant)</t>
  </si>
  <si>
    <t xml:space="preserve">https://newsroom.porsche.com/en/annual-sustainability-report/combined-management-report/business-development/</t>
  </si>
  <si>
    <t xml:space="preserve">S015</t>
  </si>
  <si>
    <t xml:space="preserve">Annual Press Conference 2026 press release (FY2025 results)</t>
  </si>
  <si>
    <t xml:space="preserve">Press release</t>
  </si>
  <si>
    <t xml:space="preserve">https://newsroom.porsche.com/en/2026/company/porsche-annual-press-conference-financial-year-2025-annual-and-sustainability-report-41708.html</t>
  </si>
  <si>
    <t xml:space="preserve">Analyst &amp; Investor Call H1 2026 (presentation)</t>
  </si>
  <si>
    <t xml:space="preserve">2026-07-29</t>
  </si>
  <si>
    <t xml:space="preserve">https://investorrelations.porsche.com/~/media/Files/P/porsche-ir/results-and-presentations/financial-reports-and-presentation/2026/q2/H1-2026-Presentation.pdf</t>
  </si>
  <si>
    <t xml:space="preserve">Half-Year Financial Report Jan-Jun 2026</t>
  </si>
  <si>
    <t xml:space="preserve">https://investorrelations.porsche.com/~/media/Files/P/porsche-ir/results-and-presentations/financial-reports-and-presentation/2026/q2/half-year-financial-report-2026-en.pdf</t>
  </si>
  <si>
    <t xml:space="preserve">S018</t>
  </si>
  <si>
    <t xml:space="preserve">Newsroom release: H1 2026 financial figures</t>
  </si>
  <si>
    <t xml:space="preserve">https://newsroom.porsche.com/en/2026/company/porsche-financial-figures-half-year-2026-42785.html</t>
  </si>
  <si>
    <t xml:space="preserve">S019</t>
  </si>
  <si>
    <t xml:space="preserve">Fact Sheet H1 2023 (XLSX)</t>
  </si>
  <si>
    <t xml:space="preserve">Fact sheet (Excel)</t>
  </si>
  <si>
    <t xml:space="preserve">https://investorrelations.porsche.com/~/media/Files/P/porsche-ir/results-and-presentations/financial-reports-and-presentation/2023/q2/q2-2023-fact-sheet-porsche-ag.xlsx</t>
  </si>
  <si>
    <t xml:space="preserve">S020</t>
  </si>
  <si>
    <t xml:space="preserve">Fact Sheet FY2023 (XLSX)</t>
  </si>
  <si>
    <t xml:space="preserve">https://investorrelations.porsche.com/~/media/Files/P/porsche-ir/results-and-presentations/financial-reports-and-presentation/2023/q4-and-full-year/fy-2023-fact-sheet-porsche-ag.xlsx</t>
  </si>
  <si>
    <t xml:space="preserve">S021</t>
  </si>
  <si>
    <t xml:space="preserve">Fact Sheet H1 2024 (XLSX)</t>
  </si>
  <si>
    <t xml:space="preserve">https://investorrelations.porsche.com/~/media/Files/P/porsche-ir/results-and-presentations/financial-reports-and-presentation/2024/q2/q2-2024-fact-sheet-porsche-ag.xlsx</t>
  </si>
  <si>
    <t xml:space="preserve">S022</t>
  </si>
  <si>
    <t xml:space="preserve">Fact Sheet FY2024 (XLSX)</t>
  </si>
  <si>
    <t xml:space="preserve">https://investorrelations.porsche.com/~/media/Files/P/porsche-ir/results-and-presentations/financial-reports-and-presentation/2024/q4-and-full-year/fy-2024-fact-sheet-porsche-ag.xlsx</t>
  </si>
  <si>
    <t xml:space="preserve">S023</t>
  </si>
  <si>
    <t xml:space="preserve">Fact Sheet H1 2025 (XLSX)</t>
  </si>
  <si>
    <t xml:space="preserve">2025-07</t>
  </si>
  <si>
    <t xml:space="preserve">https://investorrelations.porsche.com/~/media/Files/P/porsche-ir/results-and-presentations/financial-reports-and-presentation/2025/q2/q2-2025-fact-sheet-porsche-ag.xlsx</t>
  </si>
  <si>
    <t xml:space="preserve">S024</t>
  </si>
  <si>
    <t xml:space="preserve">Fact Sheet FY2025 (XLSX)</t>
  </si>
  <si>
    <t xml:space="preserve">2026-03</t>
  </si>
  <si>
    <t xml:space="preserve">https://investorrelations.porsche.com/~/media/Files/P/porsche-ir/results-and-presentations-de/financial-reports-and-presentation/2025/q4-and-full-year/FY-2025-fact-sheet-porsche-ag.xlsx</t>
  </si>
  <si>
    <t xml:space="preserve">Fact Sheet H1 2026 (XLSX)</t>
  </si>
  <si>
    <t xml:space="preserve">2026-07</t>
  </si>
  <si>
    <t xml:space="preserve">https://investorrelations.porsche.com/~/media/Files/P/porsche-ir/results-and-presentations/financial-reports-and-presentation/2026/q2/Q2-2026-fact-sheet-porsche-ag.xlsx</t>
  </si>
  <si>
    <t xml:space="preserve">S026</t>
  </si>
  <si>
    <t xml:space="preserve">Annual &amp; Sustainability Report 2024 online - Results of Operations (FY2024 with FY2023 comparatives)</t>
  </si>
  <si>
    <t xml:space="preserve">https://newsroom.porsche.com/en/annual-sustainability-report/2024/combined-management-report/results-of-operations-financial-position-and-net-assets/</t>
  </si>
  <si>
    <t xml:space="preserve">3</t>
  </si>
  <si>
    <t xml:space="preserve">Investing.com</t>
  </si>
  <si>
    <t xml:space="preserve">Earnings call transcript: Porsche AG H1 2026 (CFO Jochen Breckner statements)</t>
  </si>
  <si>
    <t xml:space="preserve">Call transcript</t>
  </si>
  <si>
    <t xml:space="preserve">https://www.investing.com/news/transcripts/earnings-call-transcript-porsche-ag-posts-stronger-margins-in-h1-2026-93CH-4818792</t>
  </si>
  <si>
    <t xml:space="preserve">2. Assumption register (mart.assumption)</t>
  </si>
  <si>
    <t xml:space="preserve">assumption_id</t>
  </si>
  <si>
    <t xml:space="preserve">statement</t>
  </si>
  <si>
    <t xml:space="preserve">applies_to</t>
  </si>
  <si>
    <t xml:space="preserve">rationale</t>
  </si>
  <si>
    <t xml:space="preserve">sensitivity</t>
  </si>
  <si>
    <t xml:space="preserve">A-01</t>
  </si>
  <si>
    <t xml:space="preserve">No realignment/battery items were disclosed for 2023-H1..2024-H2; treated as 0 in adjusted EBIT.</t>
  </si>
  <si>
    <t xml:space="preserve">v_ebit_adjusted, v_ebit_bridge_yoy</t>
  </si>
  <si>
    <t xml:space="preserve">FY2023 and FY2024 EBIT bridges (S003 p.55, S007 p.65) show no extraordinary bracket; H1 2024 deck mentions only a qualitative supply disruption.</t>
  </si>
  <si>
    <t xml:space="preserve">If undisclosed one-offs existed in 2023/24, the 2023/24 adjusted baseline would be higher and the recovery weaker than shown.</t>
  </si>
  <si>
    <t xml:space="preserve">A-02</t>
  </si>
  <si>
    <t xml:space="preserve">No additional US import tariffs before April 2025; treated as 0.</t>
  </si>
  <si>
    <t xml:space="preserve">Section 232 auto tariffs took effect 3 April 2025 (Phase 1 research); Porsche first reports tariff costs in H1 2025.</t>
  </si>
  <si>
    <t xml:space="preserve">Low: pre-2025 MFN duties are part of normal cost of sales.</t>
  </si>
  <si>
    <t xml:space="preserve">A-03</t>
  </si>
  <si>
    <t xml:space="preserve">Impairments inside automotive D&amp;A are 0 where not disclosed. Not applied to any period since the Oct 2026 source re-check: FY2023 (EUR 2m) and FY2024 (EUR 3m) automotive impairments were found in the segment reporting tables of S004 and S008, so H2 2023 and H2 2024 are DERIVED as FY - H1.</t>
  </si>
  <si>
    <t xml:space="preserve">v_da_clean, v_ebit_adjusted (level L3), v_ebit_bridge_yoy (fallback only)</t>
  </si>
  <si>
    <t xml:space="preserve">Kept as a fallback rule for any period without a disclosed figure; currently every period in the window has a disclosed or derived value.</t>
  </si>
  <si>
    <t xml:space="preserve">None at present. Before the re-check, 0 was used for 2023-H2 and 2024-H2; the disclosed values (2 and 3) lower clean D&amp;A in those halves by EUR 2m and 3m.</t>
  </si>
  <si>
    <t xml:space="preserve">A-04</t>
  </si>
  <si>
    <t xml:space="preserve">H1 2026 impairments of EUR 61m (eBike 43 + Cellforce 18) are inside automotive D&amp;A.</t>
  </si>
  <si>
    <t xml:space="preserve">v_da_clean, v_ebit_adjusted (L3), v_ebit_bridge_yoy</t>
  </si>
  <si>
    <t xml:space="preserve">Both are published impairments of automotive subsidiaries; their line item is not confirmed (Inputs M-row note).</t>
  </si>
  <si>
    <t xml:space="preserve">Alternative 0: clean D&amp;A +61m, L3 -61m in H1 2026; shown as a sensitivity column.</t>
  </si>
  <si>
    <t xml:space="preserve">A-05</t>
  </si>
  <si>
    <t xml:space="preserve">FY2026 automotive revenue = group revenue guidance x H1 2026 automotive share of group revenue (88.0%).</t>
  </si>
  <si>
    <t xml:space="preserve">v_guidance_2026_auto</t>
  </si>
  <si>
    <t xml:space="preserve">Porsche guides automotive margins but not automotive revenue.</t>
  </si>
  <si>
    <t xml:space="preserve">The share fell steadily from 92.5% (2023-H1) to 88.0% (2026-H1) as Financial Services grew. Tested: +/-1pp share moves the implied H2 2026 automotive EBITDA margin by only ~0.05pp (13.83%-13.92% at mid guidance).</t>
  </si>
  <si>
    <t xml:space="preserve">A-06</t>
  </si>
  <si>
    <t xml:space="preserve">The FY2026 extraordinary-expense figure of EUR 0.8-0.9bn (stated by the CFO on the H1 2026 earnings call, S027 transcript; not an amount in Porsche written guidance) is on the same net basis as the H1 2026 figure (EUR ~0.1bn).</t>
  </si>
  <si>
    <t xml:space="preserve">v_guidance_2026</t>
  </si>
  <si>
    <t xml:space="preserve">The EUR 0.8-0.9bn is transcript-derived: the CFO stated it on the H1 2026 call (S027, Investing.com transcript, AI-assisted and editor-reviewed): net effect ~EUR 100m in H1, EUR 800-900m for the full year. Porsche written outlook (S016 slide 14) gives no amount and states that higher realignment expenses are expected to be offset by reversing provisions. Consistent with press release S018: realignment costs expected to reach a three-digit-million amount in H2 2026.</t>
  </si>
  <si>
    <t xml:space="preserve">If the guidance were gross of provision releases, implied H2 exceptional charges would be lower.</t>
  </si>
  <si>
    <t xml:space="preserve">A-07</t>
  </si>
  <si>
    <t xml:space="preserve">H2 2026 tariff expense = H1 2026 tariff expense (EUR 0.4bn). Analyst assumption; the CFO's call remark of ~EUR 0.7bn for FY2026 (S027) would imply ~EUR 0.3bn.</t>
  </si>
  <si>
    <t xml:space="preserve">v_guidance_2026 (level L2 only)</t>
  </si>
  <si>
    <t xml:space="preserve">Analyst assumption. Porsche written guidance gives no tariff amount. On the H1 2026 call the CFO said guidance includes around EUR 700m of tariff impacts for FY2026 (S027, transcript), which would imply ~EUR 300m in H2 after H1 EUR 0.4bn.</t>
  </si>
  <si>
    <t xml:space="preserve">Level L2 only; L0 and L1 do not depend on it. With EUR 300m instead of 400m the implied H2 2026 L2 margin is 11.00% instead of 11.54% at all midpoints (range 8.69%-13.38% instead of 9.23%-13.94%).</t>
  </si>
  <si>
    <t xml:space="preserve">A-08</t>
  </si>
  <si>
    <t xml:space="preserve">Guidance ranges are combined as a grid of low / mid / high values, treated as independent.</t>
  </si>
  <si>
    <t xml:space="preserve">v_guidance_2026, v_guidance_2026_auto</t>
  </si>
  <si>
    <t xml:space="preserve">Porsche gives ranges without saying which ends go together.</t>
  </si>
  <si>
    <t xml:space="preserve">Extreme corners (low revenue with high margin) are included, so the range is wide on purpose.</t>
  </si>
  <si>
    <t xml:space="preserve">Derived H2 values inherit rounding of their inputs (one-offs EUR 0.1bn -&gt; +/-EUR 100m on H2 one-offs).</t>
  </si>
  <si>
    <t xml:space="preserve">all views using H2 one-off values</t>
  </si>
  <si>
    <t xml:space="preserve">H2 = FY - H1; both inputs rounded to EUR 0.1bn.</t>
  </si>
  <si>
    <t xml:space="preserve">Shown as rounding_band_eur_m in v_ebit_adjusted.</t>
  </si>
  <si>
    <t xml:space="preserve">3. Known data gaps - looked for, not verifiable, NOT estimated (audit.data_gap)</t>
  </si>
  <si>
    <t xml:space="preserve">reason</t>
  </si>
  <si>
    <t xml:space="preserve">2025-FY</t>
  </si>
  <si>
    <t xml:space="preserve">Searched: full document (247 PDF pages)</t>
  </si>
  <si>
    <t xml:space="preserve">BLANK: not disclosed. Source re-check Oct 2026 (official PDF text layer read in full). All 44 mentions of "realignment" in S012 checked: no realignment provision release is stated; only generic totals (provision reversals 276, provisions table; income from reversal of provisions and accruals 97, other operating income note). Not estimated.</t>
  </si>
  <si>
    <t xml:space="preserve">4. Audit findings (audit.audit_finding)</t>
  </si>
  <si>
    <t xml:space="preserve">af_id</t>
  </si>
  <si>
    <t xml:space="preserve">question</t>
  </si>
  <si>
    <t xml:space="preserve">evidence</t>
  </si>
  <si>
    <t xml:space="preserve">finding</t>
  </si>
  <si>
    <t xml:space="preserve">status</t>
  </si>
  <si>
    <t xml:space="preserve">consequence</t>
  </si>
  <si>
    <t xml:space="preserve">AF-01</t>
  </si>
  <si>
    <t xml:space="preserve">H1 2025: which amount belongs to battery, tariffs and realignment?</t>
  </si>
  <si>
    <t xml:space="preserve">S010 p.5 &amp; p.30 (verbatim): battery special expenses EUR 0.4bn; US tariffs additional expenses EUR 0.4bn. S016 p.6 fn1: H1 2025 included EUR 0.7bn realignment and EUR 0.4bn tariffs. S009 p.28: chart sub-split shows 0.4 / 0.5 / 0.2 (labels not assignable from text).</t>
  </si>
  <si>
    <t xml:space="preserve">Tariffs = EUR 0.4bn (FACT, two sources agree). Realignment incl. battery combined = EUR 0.7bn (FACT, S016). Battery alone = EUR 0.4bn per S010 text, which leaves realignment ex-battery ~EUR 0.3bn (DERIVED); the slide's 0.5/0.2 pair contradicts this at EUR 0.1bn rounding level.</t>
  </si>
  <si>
    <t xml:space="preserve">Resolved for modelling</t>
  </si>
  <si>
    <t xml:space="preserve">Use the combined realignment+battery line (0.7bn) as the adjustment. The internal split does not change adjusted EBIT, so the conflict is immaterial to the core question. Log the slide/text conflict; visually check S009 slide 28 once.</t>
  </si>
  <si>
    <t xml:space="preserve">AF-02</t>
  </si>
  <si>
    <t xml:space="preserve">Does the D&amp;A / depreciation disclosure include impairment losses?</t>
  </si>
  <si>
    <t xml:space="preserve">S017 p.12 and S010 p.11: automotive EBITDA adds back D&amp;A 'and changes in value' of PP&amp;E, capitalised development costs and other intangibles. S010 p.32: PP&amp;E depreciation includes Cellforce impairment of EUR 295m. S011 slide 34 footnote: 2025 D&amp;A includes ~EUR 1,200m impairment losses from the strategic realignment. S017 p.30: H1 2026 impairments eBike EUR 43m, Cellforce EUR 18m.</t>
  </si>
  <si>
    <t xml:space="preserve">YES. Depreciation on capex (A11) and total D&amp;A (A12) include impairments. The same impairments also sit inside the management-labelled one-offs (X01/X02).</t>
  </si>
  <si>
    <t xml:space="preserve">Resolved</t>
  </si>
  <si>
    <t xml:space="preserve">Double-count risk confirmed. Before using D&amp;A movements as a 'non-cash tailwind', subtract disclosed impairments (new variable X05). Preliminary illustration (DERIVED, not yet entered): H1 2025 depreciation on capex 1,156 less 295 Cellforce impairment = ~861, vs H1 2026 854 - the apparent EUR 302m depreciation drop largely disappears once cleaned. H2 2025 (FY less H1) will carry ~EUR 0.9bn of impairments and must be cleaned too. Amortisation (A09) may also include impairments of capitalised development costs - split to be located in S012 notes.</t>
  </si>
  <si>
    <t xml:space="preserve">AF-03</t>
  </si>
  <si>
    <t xml:space="preserve">Is the R&amp;D/D&amp;A table available consistently for H1 2023, H1 2024 and FY?</t>
  </si>
  <si>
    <t xml:space="preserve">S001 (H1 2023 deck): total R&amp;D only, no table. S002 p.29 Note 3: capitalised dev. costs, capitalisation ratio, amortisation for H1 2023. S005 p.28 and S009 p.43: R&amp;D rows only, no depreciation-on-capex row. S003 p.66 and S007 p.78: R&amp;D rows only. S011 slide 34: FULL table (R&amp;D, capex, depreciation on capex, total D&amp;A) for FY2023, FY2024, FY2025. S016 slide 25: FULL table for H1 2024, H1 2025, H1 2026.</t>
  </si>
  <si>
    <t xml:space="preserve">Full table available for 6 of 7 periods via two documents (S011 for FY, S016 for H1 2024-2026). H1 2023: R&amp;D rows available (S002), depreciation on capex NOT disclosed.</t>
  </si>
  <si>
    <t xml:space="preserve">H1 2023 depreciation on capex = DERIVED as (auto EBITDA - auto EBIT) - amortisation. H2 values for 2024 and 2025 = FY less H1 (DERIVED). H2 2023 depreciation on capex will also be DERIVED because H1 2023 is. Use latest-document comparatives.</t>
  </si>
  <si>
    <t xml:space="preserve">AF-04</t>
  </si>
  <si>
    <t xml:space="preserve">Consistency of prior-year one-off figure</t>
  </si>
  <si>
    <t xml:space="preserve">S018 (H1 2026 press release): prior-year net realignment costs 'around 800 million'. S016 p.6: EUR 0.7bn realignment in H1 2025.</t>
  </si>
  <si>
    <t xml:space="preserve">Unreconciled EUR 0.1bn difference between two Porsche documents of the same date (rounding or different scope).</t>
  </si>
  <si>
    <t xml:space="preserve">Open</t>
  </si>
  <si>
    <t xml:space="preserve">Use S016 (analyst deck, itemised) as primary; show +/- EUR 0.1bn sensitivity on the H1 2025 adjusted EBIT.</t>
  </si>
  <si>
    <t xml:space="preserve">AF-05</t>
  </si>
  <si>
    <t xml:space="preserve">Definition change in value-per-car metric</t>
  </si>
  <si>
    <t xml:space="preserve">S001 p.9: EUR 113k per delivery (H1 2023). S005 p.20: H1 2023 ASP per vehicle sold = EUR 111k. S009 p.29 shows per-delivery and p.32 per-vehicle-sold side by side.</t>
  </si>
  <si>
    <t xml:space="preserve">Porsche has shown two different per-car metrics. Only 'per vehicle sold' (O06) is available consistently H1 2023-H1 2026.</t>
  </si>
  <si>
    <t xml:space="preserve">O06 is the only per-car time series. O09 kept for reference, not analysed.</t>
  </si>
  <si>
    <t xml:space="preserve">AF-06</t>
  </si>
  <si>
    <t xml:space="preserve">Machine-readable fact sheets</t>
  </si>
  <si>
    <t xml:space="preserve">Porsche publishes an XLSX fact sheet per quarter (S019-S025).</t>
  </si>
  <si>
    <t xml:space="preserve">S024 and S025 inspected. They cover quarterly group P&amp;L, automotive cash flow, net liquidity, vehicle sales and deliveries (region, model incl. Macan ICE/BEV) from Q1 2022. They do NOT contain segment revenue/EBIT, EBITDA, D&amp;A, R&amp;D, capex, one-offs, ASP or BEV share.</t>
  </si>
  <si>
    <t xml:space="preserve">Fact-sheet variables are extracted by script (pcl_extract_factsheets.py -&gt; fact_sheet_long.csv). Only PDF-only variables are entered by hand (PCL_02_Manual_Inputs.xlsx).</t>
  </si>
  <si>
    <t xml:space="preserve">AF-07</t>
  </si>
  <si>
    <t xml:space="preserve">Header defect in S025 fact sheet</t>
  </si>
  <si>
    <t xml:space="preserve">S025 sheet '01 - Group EBIT', YTD block: cell F28 labelled 'Q1 2025'; values F29:F35 equal the discrete Q1 2026 column (F12:F18), not Q1 2025 (R12:R18).</t>
  </si>
  <si>
    <t xml:space="preserve">Porsche file carries a mislabelled header. Values are Q1 2026.</t>
  </si>
  <si>
    <t xml:space="preserve">Extraction script relabels it and flags rows HEADER_FIX. Never read periods from YTD headers without the quarter-sum check (QC3).</t>
  </si>
  <si>
    <t xml:space="preserve">AF-08</t>
  </si>
  <si>
    <t xml:space="preserve">Is the extraordinary-items bracket additive in the bridge?</t>
  </si>
  <si>
    <t xml:space="preserve">S009 slide 28: EBIT 3.06 + (-1.62 -0.22 +0.04 -0.26) = 1.01 without the ~-1.10 bracket. S016 slide 6: 1.01 + (0.15 -0.05 +0.01 +0.23) = 1.35 without the ~-0.1 bracket.</t>
  </si>
  <si>
    <t xml:space="preserve">The one-off bracket is an 'of which' already contained in the four buckets.</t>
  </si>
  <si>
    <t xml:space="preserve">B05 redefined as memo. Bridge check = prior EBIT + B01..B04 = current EBIT.</t>
  </si>
  <si>
    <t xml:space="preserve">AF-09</t>
  </si>
  <si>
    <t xml:space="preserve">Restatement of H1 2025 R&amp;D costs</t>
  </si>
  <si>
    <t xml:space="preserve">S010 p.9 (July 2025): total automotive R&amp;D costs H1 2025 = 1,258; R&amp;D recognised in income statement = 1,284. S016 slide 25 and S017 p.9 (July 2026): 1,264 and 1,290.</t>
  </si>
  <si>
    <t xml:space="preserve">Porsche restated H1 2025 R&amp;D costs by +EUR 6m in the following year.</t>
  </si>
  <si>
    <t xml:space="preserve">Latest-document rule: 1,264 used. Logged so the auditor can see the choice.</t>
  </si>
  <si>
    <t xml:space="preserve">AF-10</t>
  </si>
  <si>
    <t xml:space="preserve">Do Porsche's EBIT-bridge buckets reconcile to the reported P&amp;L?</t>
  </si>
  <si>
    <t xml:space="preserve">Bridge buckets from S003/S005/S007/S009/S011/S016 compared with changes in the S025 fact-sheet P&amp;L (Checks CHK8-CHK10 in PCL_02).</t>
  </si>
  <si>
    <t xml:space="preserve">Yes, for all six periods: 'SG&amp;A' = change in distribution + administrative expenses; 'Other' = change in net other operating result; 'Gross margin w/o R&amp;D' + 'R&amp;D' = change in gross profit. So the R&amp;D bucket sits inside cost of sales.</t>
  </si>
  <si>
    <t xml:space="preserve">Bucket definitions are now evidence-based, not assumed. FY2025 slide-text mapping (-4.17/-1.11/+0.26/-0.21) confirmed by this reconciliation.</t>
  </si>
  <si>
    <t xml:space="preserve">AF-11</t>
  </si>
  <si>
    <t xml:space="preserve">Consistency of D&amp;A across documents</t>
  </si>
  <si>
    <t xml:space="preserve">EBITDA tables (S002 p.9, S006 p.10, S010 p.11, S017 p.12, S013, S026) vs R&amp;D/D&amp;A tables (S011 slide 34, S016 slide 25).</t>
  </si>
  <si>
    <t xml:space="preserve">Automotive EBITDA = automotive EBIT + D&amp;A holds exactly in every period; the D&amp;A in both table types is the same number (e.g. H1 2024 1,364; FY2025 4,192).</t>
  </si>
  <si>
    <t xml:space="preserve">Confirms A12 includes impairments in every period (the EBITDA definition adds back impairments).</t>
  </si>
  <si>
    <t xml:space="preserve">AF-12</t>
  </si>
  <si>
    <t xml:space="preserve">Does automotive net cash flow equal operating + investing cash flow in the fact sheet?</t>
  </si>
  <si>
    <t xml:space="preserve">S025 sheet 02: H1 2024 net cash flow stored as exactly 1,117,000,000 EUR while CFO + investing = 1,116.89m; FY2024 as reported therefore makes derived H2 2024 differ by -0.11m.</t>
  </si>
  <si>
    <t xml:space="preserve">Porsche stores the H1 2024 net cash flow as a rounded figure. Difference EUR 0.11m.</t>
  </si>
  <si>
    <t xml:space="preserve">Reported values kept unchanged; check MQ16 uses a EUR 0.5m tolerance and cites this finding.</t>
  </si>
  <si>
    <t xml:space="preserve">AF-13</t>
  </si>
  <si>
    <t xml:space="preserve">Is assumption A-05 (automotive share of group revenue) stable?</t>
  </si>
  <si>
    <t xml:space="preserve">mart.v_panel_hy: automotive revenue / group revenue fell from 92.5% (2023-H1) to 88.0% (2026-H1).</t>
  </si>
  <si>
    <t xml:space="preserve">The share is not stable over time (Financial Services grows), but a +/-1pp change moves the implied H2 2026 automotive EBITDA margin by only ~0.05pp.</t>
  </si>
  <si>
    <t xml:space="preserve">A-05 keeps the latest (H1 2026) share; an earlier draft wording of A-05 stating a 87.9-89.3% range was wrong and was corrected before release.</t>
  </si>
  <si>
    <t xml:space="preserve">5. SQL view catalogue (mart.view_catalog)</t>
  </si>
  <si>
    <t xml:space="preserve">view_name</t>
  </si>
  <si>
    <t xml:space="preserve">grain</t>
  </si>
  <si>
    <t xml:space="preserve">measures</t>
  </si>
  <si>
    <t xml:space="preserve">formula_logic</t>
  </si>
  <si>
    <t xml:space="preserve">assumptions</t>
  </si>
  <si>
    <t xml:space="preserve">limitations</t>
  </si>
  <si>
    <t xml:space="preserve">source_lineage</t>
  </si>
  <si>
    <t xml:space="preserve">1 row per half-year</t>
  </si>
  <si>
    <t xml:space="preserve">Automotive revenue per vehicle sold (Porsche ASP definition) calculated and published, wholesale vs retail units, revenue per delivery, volume vs ASP effect on automotive revenue.</t>
  </si>
  <si>
    <t xml:space="preserve">ASP = A01 x 1000 / O04 (EUR k). Volume effect = dO04 x ASP_prior / 1000. ASP effect = dASP x O04_cur / 1000. Volume + ASP effect = dA01 exactly.</t>
  </si>
  <si>
    <t xml:space="preserve">None. The ASP effect is a residual of price, model mix, derivative mix, options, FX and non-vehicle revenue - not "price".</t>
  </si>
  <si>
    <t xml:space="preserve">Porsche ASP uses automotive revenue (incl. parts/services) over wholesale units; wholesale-retail difference is a proxy for channel stock movement (PROXY).</t>
  </si>
  <si>
    <t xml:space="preserve">A01: segment tables (S002/S006/S010/S017/S013/S026). O04/O01: S025. O06: S005 p.20, S009 p.32, S011 p.10, S016 p.10.</t>
  </si>
  <si>
    <t xml:space="preserve">Automotive CFO, investing, net cash flow, net liquidity; NCF margin; CFO/EBITDA; NCF/EBIT; simple cash proxy (EBITDA - capex - capitalised R&amp;D) and remainder.</t>
  </si>
  <si>
    <t xml:space="preserve">NCF margin = A13 / A01. Proxy = A03 - A10 - A06. Remainder = A13 - proxy (working capital, tax, provisions, other).</t>
  </si>
  <si>
    <t xml:space="preserve">None.</t>
  </si>
  <si>
    <t xml:space="preserve">Cash timing items (Audi licence, pension funding) are only in annotations, not quantified in the data; remainder is not decomposed further.</t>
  </si>
  <si>
    <t xml:space="preserve">A13/A13a/A13b/A14: S025 sheet 02. A03/A10/A06: segment and R&amp;D tables. Notes: mart.annotation (S009 p.35, S016 p.13).</t>
  </si>
  <si>
    <t xml:space="preserve">Automotive D&amp;A total, disclosed impairments inside it, clean D&amp;A (total - impairments), as % of automotive revenue, YoY.</t>
  </si>
  <si>
    <t xml:space="preserve">da_clean = A12 - coalesce(X05, 0). Component split cleaned only where the impairment line item is known (H1 2025 Cellforce = PP&amp;E depreciation).</t>
  </si>
  <si>
    <t xml:space="preserve">A-03, A-04.</t>
  </si>
  <si>
    <t xml:space="preserve">FY2025 automotive impairments are 1,195 (S012 segment reporting; S011 slide 34 rounds this to "around EUR 1,200 mn"). H2 2023 (2), H2 2024 (3) and H2 2025 (900) impairments are FY - H1 and their split between amortisation and depreciation is not disclosed, so component clean values are NULL there.</t>
  </si>
  <si>
    <t xml:space="preserve">A12/A09/A11: S011 p.34, S016 p.25, S002 p.9/p.29. X05: S002 p.38, S006 p.38, S010 p.32, S011 p.34 fn, S017 p.29.</t>
  </si>
  <si>
    <t xml:space="preserve">mart.v_delivery_mix</t>
  </si>
  <si>
    <t xml:space="preserve">1 row per half-year x model line / region</t>
  </si>
  <si>
    <t xml:space="preserve">Retail deliveries and share by top-level model line (Macan as total) and by region.</t>
  </si>
  <si>
    <t xml:space="preserve">Share = deliveries / sum over the period.</t>
  </si>
  <si>
    <t xml:space="preserve">Deliveries are retail units, not the wholesale units that drive revenue. Macan ICE/BEV split exists only from FY2024 (use core table for it).</t>
  </si>
  <si>
    <t xml:space="preserve">core.fact_deliveries_model / _region &lt;- S025 sheets 03 and 04; H2 = FY - H1.</t>
  </si>
  <si>
    <t xml:space="preserve">Headline levels: L0 reported, L1 excl. realignment/battery (net), L2 also excl. US tariffs; YoY changes; rounding band. Supplementary: L3 hybrid sensitivity (see limitations).</t>
  </si>
  <si>
    <t xml:space="preserve">L0 = G07. L1 = G07 + X01 (net). L2 = L1 + X03. L3 = L1 + (A12 - X05) - A06, i.e. an EBITDA-type figure with total automotive R&amp;D costs expensed as incurred. Margins = level / G01 x 100. YoY = same half of prior year.</t>
  </si>
  <si>
    <t xml:space="preserve">A-01 (no one-offs 2023-24 -&gt; 0), A-02 (no tariffs before 2025), A-03 (undisclosed impairments -&gt; 0), A-04 (H1 2026 impairments inside D&amp;A), A-09 (H2 rounding).</t>
  </si>
  <si>
    <t xml:space="preserve">Exceptional items are management-defined and rounded to EUR 0.1bn (+/-50m, +/-100m for derived H2). L3 is a SUPPLEMENTARY HYBRID SENSITIVITY only: it mixes group EBIT with automotive-only D&amp;A and capitalised development costs (FS depreciation stays in), so it is NOT underlying group profitability and must not be used as a headline KPI. X01 is added NET of provision releases, i.e. the H1 2026 EUR 0.3bn release benefit is also removed. X05 is NOT added separately in L1/L2 (already inside X01): no double count.</t>
  </si>
  <si>
    <t xml:space="preserve">G07,G01: S025. X01: S016 p.6 / S011 p.6 (FY2025 = 2.4 + 0.7 DERIVED). X03: S010 p.5, S011 p.6, S016 p.6. A12: S011 p.34 / S016 p.25 / S002 p.9. X05: S002 p.38, S004 segment reporting (FY2023 = 2), S006 p.38, S008 segment reporting (FY2024 = 3), S010 p.32, S012 segment reporting (FY2025 = 1,195; S011 p.34 rounds it to around 1,200), S017 p.29. A06: S011 p.34 / S016 p.25 / S002 p.29.</t>
  </si>
  <si>
    <t xml:space="preserve">1 row per half-year pair (same half, consecutive years): 5 rows</t>
  </si>
  <si>
    <t xml:space="preserve">Year-on-year change in group EBIT split into: exceptional items, US tariffs, capitalised development costs, clean automotive D&amp;A, Financial Services, and residual / other EBIT drivers; same in margin points.</t>
  </si>
  <si>
    <t xml:space="preserve">eff_exceptional = -(X01 cur - X01 prior); eff_tariffs = -(X03 diff); eff_rd_cap = A06 cur - A06 prior; eff_clean_da = -(da_clean diff); eff_fs = F02 diff; residual / other EBIT drivers = dEBIT - all effects. pp: effect / revenue_cur plus revenue-denominator term; sums to d_margin exactly.</t>
  </si>
  <si>
    <t xml:space="preserve">A-01, A-02, A-03, A-04 (alt residual column), A-09.</t>
  </si>
  <si>
    <t xml:space="preserve">The residual / other EBIT drivers term is NOT operating performance and NOT separated: it contains price, model/derivative mix and volume effects, changes in total R&amp;D costs, material and supplier costs (incl. BEV compensation payments), SG&amp;A, other operating income/expense, FX, consolidation effects and the rounding of disclosed one-offs (+/-EUR 100-200m). Impairments are removed from D&amp;A because they are already inside the exceptional-items effect (no double count).</t>
  </si>
  <si>
    <t xml:space="preserve">mart.v_ebit_adjusted, mart.v_da_clean, mart.v_panel_hy.</t>
  </si>
  <si>
    <t xml:space="preserve">mart.v_guidance_2026</t>
  </si>
  <si>
    <t xml:space="preserve">27 rows = SCENARIO COMBINATIONS of low/mid/high revenue x RoS x extraordinary expenses (not forecasts, no probabilities)</t>
  </si>
  <si>
    <t xml:space="preserve">FY2026 EBIT implied by guidance and the H2 2026 revenue, EBIT and margin at L0, L1, L2.</t>
  </si>
  <si>
    <t xml:space="preserve">FY EBIT = revenue x RoS. H2 = FY - H1 2026 actual. H2 exceptional = FY guided - H1 net (100). L1 = H2 EBIT + H2 exceptional. L2 = L1 + tariffs (A-07).</t>
  </si>
  <si>
    <t xml:space="preserve">A-06, A-07, A-08.</t>
  </si>
  <si>
    <t xml:space="preserve">Each row is an arithmetic scenario combination of guidance range ends, not a forecast; no probability is attached and mid is not a most-likely case. Guidance is management expectation. Extraordinary-expense guidance comes from a call transcript (Tier 3 record of a Tier 1 statement).</t>
  </si>
  <si>
    <t xml:space="preserve">core.fact_guidance &lt;- S016 slide 14 (revenue, RoS, EBITDA margin, NCF margin, BEV) and S027 (extraordinary expenses). H1 2026 actuals from mart.v_ebit_adjusted.</t>
  </si>
  <si>
    <t xml:space="preserve">mart.v_guidance_2026_auto</t>
  </si>
  <si>
    <t xml:space="preserve">9 rows = SCENARIO COMBINATIONS: revenue end x margin end (not forecasts, no probabilities)</t>
  </si>
  <si>
    <t xml:space="preserve">H2 2026 automotive EBITDA margin and automotive NCF margin implied by guidance.</t>
  </si>
  <si>
    <t xml:space="preserve">FY auto revenue = FY group revenue x H1 2026 auto share (A-05). H2 margin = (FY margin x FY auto revenue - H1 2026 actual) / (FY auto revenue - H1 2026 auto revenue).</t>
  </si>
  <si>
    <t xml:space="preserve">A-05, A-08.</t>
  </si>
  <si>
    <t xml:space="preserve">Automotive revenue is not guided; the share assumption drives the result.</t>
  </si>
  <si>
    <t xml:space="preserve">core.fact_guidance (S016 slide 14); H1 2026 automotive actuals (S017 p.12, S025).</t>
  </si>
  <si>
    <t xml:space="preserve">mart.v_guidance_2026_summary</t>
  </si>
  <si>
    <t xml:space="preserve">1 row</t>
  </si>
  <si>
    <t xml:space="preserve">Min / mid / max across the 27 scenario combinations of implied H2 2026 margins at L0, L1, L2, next to H1 2026 and H2 2025 actuals. Not forecasts; no probabilities.</t>
  </si>
  <si>
    <t xml:space="preserve">Aggregation of mart.v_guidance_2026.</t>
  </si>
  <si>
    <t xml:space="preserve">As v_guidance_2026.</t>
  </si>
  <si>
    <t xml:space="preserve">Range is deliberately wide (independent corners, A-08).</t>
  </si>
  <si>
    <t xml:space="preserve">mart.v_guidance_2026, mart.v_ebit_adjusted.</t>
  </si>
  <si>
    <t xml:space="preserve">mart.v_panel_hy</t>
  </si>
  <si>
    <t xml:space="preserve">1 row per half-year, 2023-H1..2026-H1 (7 rows)</t>
  </si>
  <si>
    <t xml:space="preserve">All core variables side by side: group P&amp;L, automotive segment, R&amp;D/capex/D&amp;A, automotive cash, FS, exceptional items, Porsche bridge, volumes, ASP, BEV share; counts of FACT vs DERIVED inputs.</t>
  </si>
  <si>
    <t xml:space="preserve">Pivot of core.fact_financial filtered on dim_period.in_analysis_window (H1 and H2 only).</t>
  </si>
  <si>
    <t xml:space="preserve">None (pure pivot). H2 columns are FY - H1 from 06_derive_h2.sql.</t>
  </si>
  <si>
    <t xml:space="preserve">Only 7 observations. Values missing in core stay NULL here (e.g. one-offs 2023-2024).</t>
  </si>
  <si>
    <t xml:space="preserve">core.fact_financial &lt;- S025 fact sheet (group P&amp;L, cash, volumes) and PDF inputs S002/S006/S010/S011/S013/S016/S017/S026 (segment, R&amp;D, D&amp;A, one-offs, ASP).</t>
  </si>
  <si>
    <t xml:space="preserve">Total automotive R&amp;D costs, capitalised, expensed, amortisation, P&amp;L charge, capitalisation rate (calc vs published), net capitalisation, R&amp;D cost intensity, effect of capitalisation-rate change vs prior year.</t>
  </si>
  <si>
    <t xml:space="preserve">P&amp;L charge = A08 + A09. Net capitalisation = A06 - A09. Counterfactual P&amp;L charge = A05 x (1 - prior-year same-half cap rate) + A09; effect = actual - counterfactual.</t>
  </si>
  <si>
    <t xml:space="preserve">Counterfactual holds amortisation fixed (a modelling simplification, labelled as such).</t>
  </si>
  <si>
    <t xml:space="preserve">Total R&amp;D costs are Porsche's accounting definition (research costs, non-capitalisable development costs and capitalisable development costs), not a cash-flow figure. Amortisation responds to past capitalisation and may include impairments (H2 2025). Counterfactual is illustrative, not what Porsche would have reported.</t>
  </si>
  <si>
    <t xml:space="preserve">A05-A09: S011 p.34 (FY), S016 p.25 (H1 2024-26), S002 p.29 + S005 p.28 (H1 2023). H1 2025 total R&amp;D restated (AF-09).</t>
  </si>
  <si>
    <t xml:space="preserve">6. SQL data-quality results (audit.dq_result, summarised)</t>
  </si>
  <si>
    <t xml:space="preserve">check_id</t>
  </si>
  <si>
    <t xml:space="preserve">check_name</t>
  </si>
  <si>
    <t xml:space="preserve">pass</t>
  </si>
  <si>
    <t xml:space="preserve">fail</t>
  </si>
  <si>
    <t xml:space="preserve">info</t>
  </si>
  <si>
    <t xml:space="preserve">DQ01</t>
  </si>
  <si>
    <t xml:space="preserve">Quarters sum to reported YTD (fact sheet)</t>
  </si>
  <si>
    <t xml:space="preserve">DQ02</t>
  </si>
  <si>
    <t xml:space="preserve">Derived H2 = Q3 + Q4</t>
  </si>
  <si>
    <t xml:space="preserve">DQ03</t>
  </si>
  <si>
    <t xml:space="preserve">Deliveries by model = total deliveries (O01)</t>
  </si>
  <si>
    <t xml:space="preserve">DQ04</t>
  </si>
  <si>
    <t xml:space="preserve">Deliveries by region = total deliveries (O01)</t>
  </si>
  <si>
    <t xml:space="preserve">DQ05</t>
  </si>
  <si>
    <t xml:space="preserve">Macan ICE + BEV = Macan total</t>
  </si>
  <si>
    <t xml:space="preserve">DQ06</t>
  </si>
  <si>
    <t xml:space="preserve">G07 = G03 + G04 + G05 + G06</t>
  </si>
  <si>
    <t xml:space="preserve">DQ07</t>
  </si>
  <si>
    <t xml:space="preserve">A03 = A02 + A12</t>
  </si>
  <si>
    <t xml:space="preserve">DQ08</t>
  </si>
  <si>
    <t xml:space="preserve">A05 = A06 + A08</t>
  </si>
  <si>
    <t xml:space="preserve">DQ09</t>
  </si>
  <si>
    <t xml:space="preserve">Prior-year EBIT + bridge buckets = EBIT</t>
  </si>
  <si>
    <t xml:space="preserve">DQ10</t>
  </si>
  <si>
    <t xml:space="preserve">Unit of fact rows matches dim_variable.unit_std</t>
  </si>
  <si>
    <t xml:space="preserve">DQ11</t>
  </si>
  <si>
    <t xml:space="preserve">Ratios never derived by FY - H1</t>
  </si>
  <si>
    <t xml:space="preserve">DQ12</t>
  </si>
  <si>
    <t xml:space="preserve">Missing half-year value in analysis window: not published / not applicable for this period</t>
  </si>
  <si>
    <t xml:space="preserve">DQ13</t>
  </si>
  <si>
    <t xml:space="preserve">Automotive + Financial Services revenue vs group revenue (difference = consolidation)</t>
  </si>
  <si>
    <t xml:space="preserve">MQ01</t>
  </si>
  <si>
    <t xml:space="preserve">v_panel_hy: 7 unique half-year rows (2023-H1..2026-H1)</t>
  </si>
  <si>
    <t xml:space="preserve">MQ02</t>
  </si>
  <si>
    <t xml:space="preserve">v_panel_hy: panel holds every core value of the analysis window (pivot completeness)</t>
  </si>
  <si>
    <t xml:space="preserve">MQ03</t>
  </si>
  <si>
    <t xml:space="preserve">v_panel_hy: H2 rows are flagged as containing DERIVED values</t>
  </si>
  <si>
    <t xml:space="preserve">MQ04</t>
  </si>
  <si>
    <t xml:space="preserve">v_ebit_adjusted: L0 = core G07</t>
  </si>
  <si>
    <t xml:space="preserve">MQ05</t>
  </si>
  <si>
    <t xml:space="preserve">v_ebit_adjusted: L2 - L0 = realignment (X01) + tariffs (X03) only</t>
  </si>
  <si>
    <t xml:space="preserve">MQ06</t>
  </si>
  <si>
    <t xml:space="preserve">v_ebit_adjusted: L0 margin = published group RoS (S009 slide 27)</t>
  </si>
  <si>
    <t xml:space="preserve">MQ07</t>
  </si>
  <si>
    <t xml:space="preserve">v_ebit_adjusted: L3 (supplementary hybrid) = L1 + clean D&amp;A - capitalised R&amp;D</t>
  </si>
  <si>
    <t xml:space="preserve">MQ08</t>
  </si>
  <si>
    <t xml:space="preserve">v_ebit_adjusted / guidance views: every cited assumption exists in mart.assumption</t>
  </si>
  <si>
    <t xml:space="preserve">MQ09</t>
  </si>
  <si>
    <t xml:space="preserve">v_da_clean: da_clean = da_total - impairment_used and 0 &lt; da_clean &lt;= da_total</t>
  </si>
  <si>
    <t xml:space="preserve">MQ10</t>
  </si>
  <si>
    <t xml:space="preserve">v_da_clean: clean depreciation + clean amortisation = clean D&amp;A (Porsche rounds components to EUR 1m)</t>
  </si>
  <si>
    <t xml:space="preserve">MQ11</t>
  </si>
  <si>
    <t xml:space="preserve">v_rd_capitalisation: calculated cap rate = published cap rate</t>
  </si>
  <si>
    <t xml:space="preserve">MQ12</t>
  </si>
  <si>
    <t xml:space="preserve">v_rd_capitalisation: P&amp;L charge = total R&amp;D costs - net capitalisation</t>
  </si>
  <si>
    <t xml:space="preserve">MQ13</t>
  </si>
  <si>
    <t xml:space="preserve">v_asp_volume: calculated ASP = published ASP</t>
  </si>
  <si>
    <t xml:space="preserve">MQ14</t>
  </si>
  <si>
    <t xml:space="preserve">v_asp_volume: volume effect + ASP effect = revenue change</t>
  </si>
  <si>
    <t xml:space="preserve">MQ15</t>
  </si>
  <si>
    <t xml:space="preserve">v_delivery_mix: units by model = total deliveries; shares = 100%</t>
  </si>
  <si>
    <t xml:space="preserve">MQ16</t>
  </si>
  <si>
    <t xml:space="preserve">v_cash_crosscheck: NCF = CFO + investing of current operations (AF-12: H1 2024 NCF stored rounded in S025)</t>
  </si>
  <si>
    <t xml:space="preserve">MQ17</t>
  </si>
  <si>
    <t xml:space="preserve">v_cash_crosscheck: NCF margin = published (S009 slide 35)</t>
  </si>
  <si>
    <t xml:space="preserve">MQ18</t>
  </si>
  <si>
    <t xml:space="preserve">v_cash_crosscheck: EBITDA margin = published automotive EBITDA margin</t>
  </si>
  <si>
    <t xml:space="preserve">MQ19</t>
  </si>
  <si>
    <t xml:space="preserve">v_ebit_bridge_yoy: effects + residual = change in EBIT</t>
  </si>
  <si>
    <t xml:space="preserve">MQ20</t>
  </si>
  <si>
    <t xml:space="preserve">v_ebit_bridge_yoy: margin-point components = change in margin</t>
  </si>
  <si>
    <t xml:space="preserve">MQ21</t>
  </si>
  <si>
    <t xml:space="preserve">v_ebit_bridge_yoy: change in L1 EBIT = non-exceptional effects (cross-view)</t>
  </si>
  <si>
    <t xml:space="preserve">MQ22</t>
  </si>
  <si>
    <t xml:space="preserve">v_ebit_bridge_yoy: change in EBIT = sum of Porsche bridge buckets B01-B04</t>
  </si>
  <si>
    <t xml:space="preserve">MQ23</t>
  </si>
  <si>
    <t xml:space="preserve">v_guidance_2026: 27 cases; FY EBIT = H1 2026 + H2 implied; H2 revenue &gt; 0</t>
  </si>
  <si>
    <t xml:space="preserve">MQ24</t>
  </si>
  <si>
    <t xml:space="preserve">v_guidance_2026: mid case FY EBIT = 35,500 x 6.5%</t>
  </si>
  <si>
    <t xml:space="preserve">MQ25</t>
  </si>
  <si>
    <t xml:space="preserve">v_guidance_2026_summary: min &lt;= mid &lt;= max for L0, L1, L2</t>
  </si>
  <si>
    <t xml:space="preserve">MQ26</t>
  </si>
  <si>
    <t xml:space="preserve">v_guidance_2026_auto: 9 cases, H2 automotive revenue &gt; 0</t>
  </si>
  <si>
    <t xml:space="preserve">MQ27</t>
  </si>
  <si>
    <t xml:space="preserve">mart.view_catalog: every mart view documented and every entry exists</t>
  </si>
  <si>
    <t xml:space="preserve">MQ28</t>
  </si>
  <si>
    <t xml:space="preserve">Labelling: every L3 row flagged as supplementary hybrid sensitivity</t>
  </si>
</sst>
</file>

<file path=xl/styles.xml><?xml version="1.0" encoding="utf-8"?>
<styleSheet xmlns="http://schemas.openxmlformats.org/spreadsheetml/2006/main">
  <numFmts count="16">
    <numFmt numFmtId="164" formatCode="General"/>
    <numFmt numFmtId="165" formatCode="#,##0;\(#,##0\);\-"/>
    <numFmt numFmtId="166" formatCode="0.0"/>
    <numFmt numFmtId="167" formatCode="#,##0.000000"/>
    <numFmt numFmtId="168" formatCode="0.000000"/>
    <numFmt numFmtId="169" formatCode="#,##0.000"/>
    <numFmt numFmtId="170" formatCode="0.00"/>
    <numFmt numFmtId="171" formatCode="0.0%;\(0.0%\);\-"/>
    <numFmt numFmtId="172" formatCode="\+0.00&quot; pp&quot;;\-0.00&quot; pp&quot;;0.00&quot; pp&quot;"/>
    <numFmt numFmtId="173" formatCode="#,##0.0;\(#,##0.0\);\-"/>
    <numFmt numFmtId="174" formatCode="General"/>
    <numFmt numFmtId="175" formatCode="0%"/>
    <numFmt numFmtId="176" formatCode="@"/>
    <numFmt numFmtId="177" formatCode="0.00\x;\(0.00&quot;x)&quot;;\-"/>
    <numFmt numFmtId="178" formatCode="0.00%;\(0.00%\);\-"/>
    <numFmt numFmtId="179" formatCode="#,##0.0000"/>
  </numFmts>
  <fonts count="18">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10"/>
      <color rgb="FF595959"/>
      <name val="Arial"/>
      <family val="0"/>
      <charset val="1"/>
    </font>
    <font>
      <b val="true"/>
      <sz val="10"/>
      <name val="Arial"/>
      <family val="0"/>
      <charset val="1"/>
    </font>
    <font>
      <sz val="10"/>
      <name val="Arial"/>
      <family val="0"/>
      <charset val="1"/>
    </font>
    <font>
      <sz val="10"/>
      <color rgb="FF008000"/>
      <name val="Arial"/>
      <family val="0"/>
      <charset val="1"/>
    </font>
    <font>
      <b val="true"/>
      <sz val="10"/>
      <color rgb="FFFFFFFF"/>
      <name val="Arial"/>
      <family val="0"/>
      <charset val="1"/>
    </font>
    <font>
      <b val="true"/>
      <sz val="10"/>
      <color rgb="FF1F3864"/>
      <name val="Arial"/>
      <family val="0"/>
      <charset val="1"/>
    </font>
    <font>
      <sz val="10"/>
      <color rgb="FF0000FF"/>
      <name val="Arial"/>
      <family val="0"/>
      <charset val="1"/>
    </font>
    <font>
      <b val="true"/>
      <sz val="18"/>
      <color rgb="FF000000"/>
      <name val="Calibri"/>
      <family val="2"/>
    </font>
    <font>
      <sz val="10"/>
      <color rgb="FF000000"/>
      <name val="Calibri"/>
      <family val="2"/>
    </font>
    <font>
      <b val="true"/>
      <sz val="10"/>
      <color rgb="FF000000"/>
      <name val="Calibri"/>
      <family val="2"/>
    </font>
    <font>
      <b val="true"/>
      <sz val="10"/>
      <color rgb="FF008000"/>
      <name val="Arial"/>
      <family val="0"/>
      <charset val="1"/>
    </font>
    <font>
      <b val="true"/>
      <sz val="10"/>
      <color rgb="FFC00000"/>
      <name val="Arial"/>
      <family val="0"/>
      <charset val="1"/>
    </font>
    <font>
      <b val="true"/>
      <sz val="11"/>
      <color rgb="FF006100"/>
      <name val="Arial"/>
      <family val="0"/>
      <charset val="1"/>
    </font>
  </fonts>
  <fills count="7">
    <fill>
      <patternFill patternType="none"/>
    </fill>
    <fill>
      <patternFill patternType="gray125"/>
    </fill>
    <fill>
      <patternFill patternType="solid">
        <fgColor rgb="FFD9E1F2"/>
        <bgColor rgb="FFD9D9D9"/>
      </patternFill>
    </fill>
    <fill>
      <patternFill patternType="solid">
        <fgColor rgb="FFFCE4D6"/>
        <bgColor rgb="FFFBE5D6"/>
      </patternFill>
    </fill>
    <fill>
      <patternFill patternType="solid">
        <fgColor rgb="FFEDEDED"/>
        <bgColor rgb="FFFBE5D6"/>
      </patternFill>
    </fill>
    <fill>
      <patternFill patternType="solid">
        <fgColor rgb="FF1F3864"/>
        <bgColor rgb="FF333333"/>
      </patternFill>
    </fill>
    <fill>
      <patternFill patternType="solid">
        <fgColor rgb="FFFFF2CC"/>
        <bgColor rgb="FFFBE5D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top" textRotation="0" wrapText="tru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4" fontId="7" fillId="3" borderId="0" xfId="0" applyFont="true" applyBorder="false" applyAlignment="true" applyProtection="false">
      <alignment horizontal="general" vertical="top" textRotation="0" wrapText="true" indent="0" shrinkToFit="false"/>
      <protection locked="true" hidden="false"/>
    </xf>
    <xf numFmtId="164" fontId="7" fillId="4" borderId="0" xfId="0" applyFont="true" applyBorder="false" applyAlignment="false" applyProtection="false">
      <alignment horizontal="general" vertical="bottom" textRotation="0" wrapText="false" indent="0" shrinkToFit="false"/>
      <protection locked="true" hidden="false"/>
    </xf>
    <xf numFmtId="164" fontId="7" fillId="4" borderId="0" xfId="0" applyFont="true" applyBorder="false" applyAlignment="true" applyProtection="false">
      <alignment horizontal="general" vertical="top" textRotation="0" wrapText="true" indent="0" shrinkToFit="false"/>
      <protection locked="true" hidden="false"/>
    </xf>
    <xf numFmtId="164" fontId="9" fillId="5" borderId="1" xfId="0" applyFont="true" applyBorder="true" applyAlignment="true" applyProtection="false">
      <alignment horizontal="center" vertical="center" textRotation="0" wrapText="tru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center" vertical="center" textRotation="0" wrapText="tru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8" fontId="7"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9" fontId="11" fillId="0" borderId="0" xfId="0" applyFont="true" applyBorder="false" applyAlignment="false" applyProtection="false">
      <alignment horizontal="general" vertical="bottom" textRotation="0" wrapText="false" indent="0" shrinkToFit="false"/>
      <protection locked="true" hidden="false"/>
    </xf>
    <xf numFmtId="170" fontId="11"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71" fontId="8" fillId="0" borderId="1" xfId="0" applyFont="true" applyBorder="true" applyAlignment="false" applyProtection="false">
      <alignment horizontal="general" vertical="bottom" textRotation="0" wrapText="false" indent="0" shrinkToFit="false"/>
      <protection locked="true" hidden="false"/>
    </xf>
    <xf numFmtId="171" fontId="7" fillId="0" borderId="1" xfId="0" applyFont="true" applyBorder="true" applyAlignment="false" applyProtection="false">
      <alignment horizontal="general" vertical="bottom" textRotation="0" wrapText="false" indent="0" shrinkToFit="false"/>
      <protection locked="true" hidden="false"/>
    </xf>
    <xf numFmtId="172" fontId="6" fillId="0" borderId="1" xfId="0" applyFont="true" applyBorder="true" applyAlignment="false" applyProtection="false">
      <alignment horizontal="general" vertical="bottom" textRotation="0" wrapText="false" indent="0" shrinkToFit="false"/>
      <protection locked="true" hidden="false"/>
    </xf>
    <xf numFmtId="165" fontId="8" fillId="6" borderId="1" xfId="0" applyFont="true" applyBorder="true" applyAlignment="false" applyProtection="false">
      <alignment horizontal="general" vertical="bottom" textRotation="0" wrapText="false" indent="0" shrinkToFit="false"/>
      <protection locked="true" hidden="false"/>
    </xf>
    <xf numFmtId="171" fontId="8" fillId="6" borderId="1" xfId="0" applyFont="true" applyBorder="true" applyAlignment="false" applyProtection="false">
      <alignment horizontal="general" vertical="bottom" textRotation="0" wrapText="false" indent="0" shrinkToFit="false"/>
      <protection locked="true" hidden="false"/>
    </xf>
    <xf numFmtId="171" fontId="6" fillId="0" borderId="1" xfId="0" applyFont="true" applyBorder="true" applyAlignment="false" applyProtection="false">
      <alignment horizontal="general" vertical="bottom" textRotation="0" wrapText="false" indent="0" shrinkToFit="false"/>
      <protection locked="true" hidden="false"/>
    </xf>
    <xf numFmtId="173" fontId="8" fillId="0" borderId="1" xfId="0" applyFont="true" applyBorder="true" applyAlignment="false" applyProtection="false">
      <alignment horizontal="general" vertical="bottom" textRotation="0" wrapText="false" indent="0" shrinkToFit="false"/>
      <protection locked="true" hidden="false"/>
    </xf>
    <xf numFmtId="173" fontId="7" fillId="0" borderId="1" xfId="0" applyFont="true" applyBorder="true" applyAlignment="false" applyProtection="false">
      <alignment horizontal="general" vertical="bottom" textRotation="0" wrapText="false" indent="0" shrinkToFit="false"/>
      <protection locked="true" hidden="false"/>
    </xf>
    <xf numFmtId="164" fontId="10"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74" fontId="7" fillId="0" borderId="0" xfId="0" applyFont="true" applyBorder="true" applyAlignment="true" applyProtection="false">
      <alignment horizontal="general" vertical="center" textRotation="0" wrapText="tru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5" fontId="15" fillId="0" borderId="1" xfId="0" applyFont="true" applyBorder="true" applyAlignment="false" applyProtection="false">
      <alignment horizontal="general" vertical="bottom" textRotation="0" wrapText="false" indent="0" shrinkToFit="false"/>
      <protection locked="true" hidden="false"/>
    </xf>
    <xf numFmtId="171" fontId="11" fillId="0" borderId="1" xfId="0" applyFont="true" applyBorder="true" applyAlignment="false" applyProtection="false">
      <alignment horizontal="general" vertical="bottom" textRotation="0" wrapText="false" indent="0" shrinkToFit="false"/>
      <protection locked="true" hidden="false"/>
    </xf>
    <xf numFmtId="172" fontId="7" fillId="0" borderId="1" xfId="0" applyFont="true" applyBorder="true" applyAlignment="false" applyProtection="false">
      <alignment horizontal="general" vertical="bottom" textRotation="0" wrapText="false" indent="0" shrinkToFit="false"/>
      <protection locked="true" hidden="false"/>
    </xf>
    <xf numFmtId="176" fontId="7" fillId="0"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7" fillId="6" borderId="0" xfId="0" applyFont="true" applyBorder="false" applyAlignment="false" applyProtection="false">
      <alignment horizontal="general" vertical="bottom" textRotation="0" wrapText="false" indent="0" shrinkToFit="false"/>
      <protection locked="true" hidden="false"/>
    </xf>
    <xf numFmtId="164" fontId="6" fillId="6" borderId="0" xfId="0" applyFont="true" applyBorder="false" applyAlignment="false" applyProtection="false">
      <alignment horizontal="general" vertical="bottom" textRotation="0" wrapText="false" indent="0" shrinkToFit="false"/>
      <protection locked="true" hidden="false"/>
    </xf>
    <xf numFmtId="165" fontId="6" fillId="6" borderId="1" xfId="0" applyFont="true" applyBorder="true" applyAlignment="false" applyProtection="false">
      <alignment horizontal="general" vertical="bottom" textRotation="0" wrapText="false" indent="0" shrinkToFit="false"/>
      <protection locked="true" hidden="false"/>
    </xf>
    <xf numFmtId="171" fontId="6" fillId="6" borderId="1" xfId="0" applyFont="true" applyBorder="true" applyAlignment="false" applyProtection="false">
      <alignment horizontal="general" vertical="bottom" textRotation="0" wrapText="false" indent="0" shrinkToFit="false"/>
      <protection locked="true" hidden="false"/>
    </xf>
    <xf numFmtId="164" fontId="16" fillId="4" borderId="0" xfId="0" applyFont="true" applyBorder="false" applyAlignment="fals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5" fontId="8" fillId="4" borderId="1" xfId="0" applyFont="true" applyBorder="true" applyAlignment="false" applyProtection="false">
      <alignment horizontal="general" vertical="bottom" textRotation="0" wrapText="false" indent="0" shrinkToFit="false"/>
      <protection locked="true" hidden="false"/>
    </xf>
    <xf numFmtId="165" fontId="7" fillId="4" borderId="1" xfId="0" applyFont="true" applyBorder="true" applyAlignment="false" applyProtection="false">
      <alignment horizontal="general" vertical="bottom" textRotation="0" wrapText="false" indent="0" shrinkToFit="false"/>
      <protection locked="true" hidden="false"/>
    </xf>
    <xf numFmtId="171" fontId="7" fillId="4" borderId="1" xfId="0" applyFont="true" applyBorder="true" applyAlignment="false" applyProtection="false">
      <alignment horizontal="general" vertical="bottom" textRotation="0" wrapText="false" indent="0" shrinkToFit="false"/>
      <protection locked="true" hidden="false"/>
    </xf>
    <xf numFmtId="173" fontId="6" fillId="6" borderId="1" xfId="0" applyFont="true" applyBorder="true" applyAlignment="false" applyProtection="false">
      <alignment horizontal="general" vertical="bottom" textRotation="0" wrapText="false" indent="0" shrinkToFit="false"/>
      <protection locked="true" hidden="false"/>
    </xf>
    <xf numFmtId="165" fontId="15" fillId="6" borderId="1" xfId="0" applyFont="true" applyBorder="true" applyAlignment="false" applyProtection="false">
      <alignment horizontal="general" vertical="bottom" textRotation="0" wrapText="false" indent="0" shrinkToFit="false"/>
      <protection locked="true" hidden="false"/>
    </xf>
    <xf numFmtId="177" fontId="7" fillId="0" borderId="1" xfId="0" applyFont="true" applyBorder="true" applyAlignment="false" applyProtection="false">
      <alignment horizontal="general" vertical="bottom" textRotation="0" wrapText="false" indent="0" shrinkToFit="false"/>
      <protection locked="true" hidden="false"/>
    </xf>
    <xf numFmtId="164" fontId="16" fillId="3"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71" fontId="11" fillId="0" borderId="0" xfId="0" applyFont="true" applyBorder="false" applyAlignment="false" applyProtection="false">
      <alignment horizontal="general" vertical="bottom" textRotation="0" wrapText="false" indent="0" shrinkToFit="false"/>
      <protection locked="true" hidden="false"/>
    </xf>
    <xf numFmtId="178" fontId="7"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71" fontId="8" fillId="0" borderId="0" xfId="0" applyFont="true" applyBorder="false" applyAlignment="false" applyProtection="false">
      <alignment horizontal="general" vertical="bottom" textRotation="0" wrapText="false" indent="0" shrinkToFit="false"/>
      <protection locked="true" hidden="false"/>
    </xf>
    <xf numFmtId="164" fontId="11" fillId="6" borderId="0" xfId="0" applyFont="true" applyBorder="false" applyAlignment="true" applyProtection="false">
      <alignment horizontal="center" vertical="center" textRotation="0" wrapText="tru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78" fontId="0" fillId="0" borderId="0" xfId="0" applyFont="false" applyBorder="false" applyAlignment="false" applyProtection="false">
      <alignment horizontal="general" vertical="bottom" textRotation="0" wrapText="false" indent="0" shrinkToFit="false"/>
      <protection locked="true" hidden="false"/>
    </xf>
    <xf numFmtId="171" fontId="7" fillId="6" borderId="0" xfId="0" applyFont="true" applyBorder="false" applyAlignment="false" applyProtection="false">
      <alignment horizontal="general" vertical="bottom" textRotation="0" wrapText="false" indent="0" shrinkToFit="false"/>
      <protection locked="true" hidden="false"/>
    </xf>
    <xf numFmtId="171" fontId="7"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79" fontId="7" fillId="0" borderId="1" xfId="0" applyFont="true" applyBorder="true" applyAlignment="false" applyProtection="false">
      <alignment horizontal="general" vertical="bottom" textRotation="0" wrapText="false" indent="0" shrinkToFit="false"/>
      <protection locked="true" hidden="false"/>
    </xf>
    <xf numFmtId="179" fontId="11"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bgColor rgb="FFFBE5D6"/>
        </patternFill>
      </fill>
    </dxf>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0000FF"/>
          <bgColor rgb="FF000000"/>
        </patternFill>
      </fill>
    </dxf>
    <dxf>
      <fill>
        <patternFill>
          <bgColor rgb="FFFFC7CE"/>
        </patternFill>
      </fill>
    </dxf>
    <dxf>
      <fill>
        <patternFill>
          <bgColor rgb="FFC6EFCE"/>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70AD47"/>
      <rgbColor rgb="FF800080"/>
      <rgbColor rgb="FF4F81BD"/>
      <rgbColor rgb="FFBFBFBF"/>
      <rgbColor rgb="FF878787"/>
      <rgbColor rgb="FF9999FF"/>
      <rgbColor rgb="FFBE4B48"/>
      <rgbColor rgb="FFFFF2CC"/>
      <rgbColor rgb="FFEDEDED"/>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D9E1F2"/>
      <rgbColor rgb="FFC6EFCE"/>
      <rgbColor rgb="FFFBE5D6"/>
      <rgbColor rgb="FF99CCFF"/>
      <rgbColor rgb="FFFCE4D6"/>
      <rgbColor rgb="FFCC99FF"/>
      <rgbColor rgb="FFFFC7CE"/>
      <rgbColor rgb="FF4472C4"/>
      <rgbColor rgb="FF33CCCC"/>
      <rgbColor rgb="FF98B855"/>
      <rgbColor rgb="FFFFC000"/>
      <rgbColor rgb="FFFF9900"/>
      <rgbColor rgb="FFED7D31"/>
      <rgbColor rgb="FF595959"/>
      <rgbColor rgb="FFA5A5A5"/>
      <rgbColor rgb="FF1F3864"/>
      <rgbColor rgb="FF4A7EBB"/>
      <rgbColor rgb="FF0061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Group margin by half-year: reported vs adjusted </a:t>
            </a:r>
          </a:p>
        </c:rich>
      </c:tx>
      <c:overlay val="0"/>
      <c:spPr>
        <a:noFill/>
        <a:ln w="0">
          <a:noFill/>
        </a:ln>
      </c:spPr>
    </c:title>
    <c:autoTitleDeleted val="0"/>
    <c:plotArea>
      <c:lineChart>
        <c:grouping val="standard"/>
        <c:varyColors val="0"/>
        <c:ser>
          <c:idx val="0"/>
          <c:order val="0"/>
          <c:tx>
            <c:strRef>
              <c:f>"L0 reported"</c:f>
              <c:strCache>
                <c:ptCount val="1"/>
                <c:pt idx="0">
                  <c:v>L0 reported</c:v>
                </c:pt>
              </c:strCache>
            </c:strRef>
          </c:tx>
          <c:spPr>
            <a:solidFill>
              <a:srgbClr val="4a7ebb"/>
            </a:solidFill>
            <a:ln w="28440">
              <a:solidFill>
                <a:srgbClr val="4a7ebb"/>
              </a:solidFill>
              <a:round/>
            </a:ln>
          </c:spPr>
          <c:marker>
            <c:symbol val="circle"/>
            <c:size val="5"/>
            <c:spPr>
              <a:solidFill>
                <a:srgbClr val="4a7ebb"/>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KPI_Overview!$D$5:$J$5</c:f>
              <c:multiLvlStrCache>
                <c:ptCount val="1"/>
                <c:lvl>
                  <c:pt idx="0">
                    <c:v>2026-H1</c:v>
                  </c:pt>
                </c:lvl>
                <c:lvl>
                  <c:pt idx="0">
                    <c:v>2025-H2</c:v>
                  </c:pt>
                </c:lvl>
                <c:lvl>
                  <c:pt idx="0">
                    <c:v>2025-H1</c:v>
                  </c:pt>
                </c:lvl>
                <c:lvl>
                  <c:pt idx="0">
                    <c:v>2024-H2</c:v>
                  </c:pt>
                </c:lvl>
                <c:lvl>
                  <c:pt idx="0">
                    <c:v>2024-H1</c:v>
                  </c:pt>
                </c:lvl>
                <c:lvl>
                  <c:pt idx="0">
                    <c:v>2023-H2</c:v>
                  </c:pt>
                </c:lvl>
                <c:lvl>
                  <c:pt idx="0">
                    <c:v>2023-H1</c:v>
                  </c:pt>
                </c:lvl>
              </c:multiLvlStrCache>
            </c:multiLvlStrRef>
          </c:cat>
          <c:val>
            <c:numRef>
              <c:f>KPI_Overview!$D$8:$J$8</c:f>
              <c:numCache>
                <c:formatCode>0.0%;\(0.0%\);\-</c:formatCode>
                <c:ptCount val="7"/>
                <c:pt idx="0">
                  <c:v>0.188549254707432</c:v>
                </c:pt>
                <c:pt idx="1">
                  <c:v>0.170760832171653</c:v>
                </c:pt>
                <c:pt idx="2">
                  <c:v>0.157344610681248</c:v>
                </c:pt>
                <c:pt idx="3">
                  <c:v>0.124861906677981</c:v>
                </c:pt>
                <c:pt idx="4">
                  <c:v>0.0554483697641286</c:v>
                </c:pt>
                <c:pt idx="5">
                  <c:v>-0.0327644785831456</c:v>
                </c:pt>
                <c:pt idx="6">
                  <c:v>0.0782488481315636</c:v>
                </c:pt>
              </c:numCache>
            </c:numRef>
          </c:val>
          <c:smooth val="0"/>
        </c:ser>
        <c:ser>
          <c:idx val="1"/>
          <c:order val="1"/>
          <c:tx>
            <c:strRef>
              <c:f>"L1 excl. realignment &amp; battery"</c:f>
              <c:strCache>
                <c:ptCount val="1"/>
                <c:pt idx="0">
                  <c:v>L1 excl. realignment &amp; battery</c:v>
                </c:pt>
              </c:strCache>
            </c:strRef>
          </c:tx>
          <c:spPr>
            <a:solidFill>
              <a:srgbClr val="be4b48"/>
            </a:solidFill>
            <a:ln w="28440">
              <a:solidFill>
                <a:srgbClr val="be4b48"/>
              </a:solidFill>
              <a:round/>
            </a:ln>
          </c:spPr>
          <c:marker>
            <c:symbol val="circle"/>
            <c:size val="5"/>
            <c:spPr>
              <a:solidFill>
                <a:srgbClr val="be4b48"/>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KPI_Overview!$D$5:$J$5</c:f>
              <c:multiLvlStrCache>
                <c:ptCount val="1"/>
                <c:lvl>
                  <c:pt idx="0">
                    <c:v>2026-H1</c:v>
                  </c:pt>
                </c:lvl>
                <c:lvl>
                  <c:pt idx="0">
                    <c:v>2025-H2</c:v>
                  </c:pt>
                </c:lvl>
                <c:lvl>
                  <c:pt idx="0">
                    <c:v>2025-H1</c:v>
                  </c:pt>
                </c:lvl>
                <c:lvl>
                  <c:pt idx="0">
                    <c:v>2024-H2</c:v>
                  </c:pt>
                </c:lvl>
                <c:lvl>
                  <c:pt idx="0">
                    <c:v>2024-H1</c:v>
                  </c:pt>
                </c:lvl>
                <c:lvl>
                  <c:pt idx="0">
                    <c:v>2023-H2</c:v>
                  </c:pt>
                </c:lvl>
                <c:lvl>
                  <c:pt idx="0">
                    <c:v>2023-H1</c:v>
                  </c:pt>
                </c:lvl>
              </c:multiLvlStrCache>
            </c:multiLvlStrRef>
          </c:cat>
          <c:val>
            <c:numRef>
              <c:f>KPI_Overview!$D$10:$J$10</c:f>
              <c:numCache>
                <c:formatCode>0.0%;\(0.0%\);\-</c:formatCode>
                <c:ptCount val="7"/>
                <c:pt idx="0">
                  <c:v>0.188549254707432</c:v>
                </c:pt>
                <c:pt idx="1">
                  <c:v>0.170760832171653</c:v>
                </c:pt>
                <c:pt idx="2">
                  <c:v>0.157344610681248</c:v>
                </c:pt>
                <c:pt idx="3">
                  <c:v>0.124861906677981</c:v>
                </c:pt>
                <c:pt idx="4">
                  <c:v>0.0940004102421761</c:v>
                </c:pt>
                <c:pt idx="5">
                  <c:v>0.0997271434908945</c:v>
                </c:pt>
                <c:pt idx="6">
                  <c:v>0.0840528620678999</c:v>
                </c:pt>
              </c:numCache>
            </c:numRef>
          </c:val>
          <c:smooth val="0"/>
        </c:ser>
        <c:ser>
          <c:idx val="2"/>
          <c:order val="2"/>
          <c:tx>
            <c:strRef>
              <c:f>"L2 also excl. tariffs"</c:f>
              <c:strCache>
                <c:ptCount val="1"/>
                <c:pt idx="0">
                  <c:v>L2 also excl. tariffs</c:v>
                </c:pt>
              </c:strCache>
            </c:strRef>
          </c:tx>
          <c:spPr>
            <a:solidFill>
              <a:srgbClr val="98b855"/>
            </a:solidFill>
            <a:ln w="28440">
              <a:solidFill>
                <a:srgbClr val="98b855"/>
              </a:solidFill>
              <a:round/>
            </a:ln>
          </c:spPr>
          <c:marker>
            <c:symbol val="circle"/>
            <c:size val="5"/>
            <c:spPr>
              <a:solidFill>
                <a:srgbClr val="98b855"/>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KPI_Overview!$D$5:$J$5</c:f>
              <c:multiLvlStrCache>
                <c:ptCount val="1"/>
                <c:lvl>
                  <c:pt idx="0">
                    <c:v>2026-H1</c:v>
                  </c:pt>
                </c:lvl>
                <c:lvl>
                  <c:pt idx="0">
                    <c:v>2025-H2</c:v>
                  </c:pt>
                </c:lvl>
                <c:lvl>
                  <c:pt idx="0">
                    <c:v>2025-H1</c:v>
                  </c:pt>
                </c:lvl>
                <c:lvl>
                  <c:pt idx="0">
                    <c:v>2024-H2</c:v>
                  </c:pt>
                </c:lvl>
                <c:lvl>
                  <c:pt idx="0">
                    <c:v>2024-H1</c:v>
                  </c:pt>
                </c:lvl>
                <c:lvl>
                  <c:pt idx="0">
                    <c:v>2023-H2</c:v>
                  </c:pt>
                </c:lvl>
                <c:lvl>
                  <c:pt idx="0">
                    <c:v>2023-H1</c:v>
                  </c:pt>
                </c:lvl>
              </c:multiLvlStrCache>
            </c:multiLvlStrRef>
          </c:cat>
          <c:val>
            <c:numRef>
              <c:f>KPI_Overview!$D$12:$J$12</c:f>
              <c:numCache>
                <c:formatCode>0.0%;\(0.0%\);\-</c:formatCode>
                <c:ptCount val="7"/>
                <c:pt idx="0">
                  <c:v>0.188549254707432</c:v>
                </c:pt>
                <c:pt idx="1">
                  <c:v>0.170760832171653</c:v>
                </c:pt>
                <c:pt idx="2">
                  <c:v>0.157344610681248</c:v>
                </c:pt>
                <c:pt idx="3">
                  <c:v>0.124861906677981</c:v>
                </c:pt>
                <c:pt idx="4">
                  <c:v>0.116030147658203</c:v>
                </c:pt>
                <c:pt idx="5">
                  <c:v>0.11628859625015</c:v>
                </c:pt>
                <c:pt idx="6">
                  <c:v>0.107268917813245</c:v>
                </c:pt>
              </c:numCache>
            </c:numRef>
          </c:val>
          <c:smooth val="0"/>
        </c:ser>
        <c:hiLowLines>
          <c:spPr>
            <a:ln w="0">
              <a:noFill/>
            </a:ln>
          </c:spPr>
        </c:hiLowLines>
        <c:marker val="1"/>
        <c:axId val="91366724"/>
        <c:axId val="37408818"/>
      </c:lineChart>
      <c:catAx>
        <c:axId val="91366724"/>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7408818"/>
        <c:crosses val="autoZero"/>
        <c:auto val="1"/>
        <c:lblAlgn val="ctr"/>
        <c:lblOffset val="100"/>
        <c:noMultiLvlLbl val="0"/>
      </c:catAx>
      <c:valAx>
        <c:axId val="37408818"/>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margin</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1366724"/>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H1 2026 vs H1 2025: what moved reported EBIT (EUR m)</a:t>
            </a:r>
          </a:p>
        </c:rich>
      </c:tx>
      <c:overlay val="0"/>
      <c:spPr>
        <a:noFill/>
        <a:ln w="0">
          <a:noFill/>
        </a:ln>
      </c:spPr>
    </c:title>
    <c:autoTitleDeleted val="0"/>
    <c:plotArea>
      <c:barChart>
        <c:barDir val="bar"/>
        <c:grouping val="clustered"/>
        <c:varyColors val="0"/>
        <c:ser>
          <c:idx val="0"/>
          <c:order val="0"/>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KPI_Overview!$B$32:$B$38</c:f>
              <c:strCache>
                <c:ptCount val="7"/>
                <c:pt idx="0">
                  <c:v>Exceptional items</c:v>
                </c:pt>
                <c:pt idx="1">
                  <c:v>US tariffs</c:v>
                </c:pt>
                <c:pt idx="2">
                  <c:v>Capitalised dev. costs</c:v>
                </c:pt>
                <c:pt idx="3">
                  <c:v>Clean D&amp;A</c:v>
                </c:pt>
                <c:pt idx="4">
                  <c:v>Financial Services</c:v>
                </c:pt>
                <c:pt idx="5">
                  <c:v>Residual / other drivers</c:v>
                </c:pt>
                <c:pt idx="6">
                  <c:v>Total change in EBIT</c:v>
                </c:pt>
              </c:strCache>
            </c:strRef>
          </c:cat>
          <c:val>
            <c:numRef>
              <c:f>KPI_Overview!$D$32:$D$38</c:f>
              <c:numCache>
                <c:formatCode>#,##0;\(#,##0\);\-</c:formatCode>
                <c:ptCount val="7"/>
                <c:pt idx="0">
                  <c:v>600</c:v>
                </c:pt>
                <c:pt idx="1">
                  <c:v>-0</c:v>
                </c:pt>
                <c:pt idx="2">
                  <c:v>-88</c:v>
                </c:pt>
                <c:pt idx="3">
                  <c:v>-37</c:v>
                </c:pt>
                <c:pt idx="4">
                  <c:v>6</c:v>
                </c:pt>
                <c:pt idx="5">
                  <c:v>-139.606248</c:v>
                </c:pt>
                <c:pt idx="6">
                  <c:v>341.393752</c:v>
                </c:pt>
              </c:numCache>
            </c:numRef>
          </c:val>
        </c:ser>
        <c:gapWidth val="150"/>
        <c:overlap val="0"/>
        <c:axId val="93350854"/>
        <c:axId val="41594804"/>
      </c:barChart>
      <c:catAx>
        <c:axId val="93350854"/>
        <c:scaling>
          <c:orientation val="minMax"/>
        </c:scaling>
        <c:delete val="0"/>
        <c:axPos val="b"/>
        <c:numFmt formatCode="General" sourceLinked="1"/>
        <c:majorTickMark val="none"/>
        <c:minorTickMark val="none"/>
        <c:tickLblPos val="low"/>
        <c:spPr>
          <a:ln w="9360">
            <a:solidFill>
              <a:srgbClr val="878787"/>
            </a:solidFill>
            <a:round/>
          </a:ln>
        </c:spPr>
        <c:txPr>
          <a:bodyPr/>
          <a:lstStyle/>
          <a:p>
            <a:pPr>
              <a:defRPr b="0" sz="1000" spc="-1" strike="noStrike">
                <a:solidFill>
                  <a:srgbClr val="000000"/>
                </a:solidFill>
                <a:latin typeface="Calibri"/>
              </a:defRPr>
            </a:pPr>
          </a:p>
        </c:txPr>
        <c:crossAx val="41594804"/>
        <c:crosses val="autoZero"/>
        <c:auto val="1"/>
        <c:lblAlgn val="ctr"/>
        <c:lblOffset val="100"/>
        <c:noMultiLvlLbl val="0"/>
      </c:catAx>
      <c:valAx>
        <c:axId val="41594804"/>
        <c:scaling>
          <c:orientation val="minMax"/>
        </c:scaling>
        <c:delete val="0"/>
        <c:axPos val="l"/>
        <c:majorGridlines>
          <c:spPr>
            <a:ln w="9360">
              <a:solidFill>
                <a:srgbClr val="878787"/>
              </a:solidFill>
              <a:round/>
            </a:ln>
          </c:spPr>
        </c:majorGridlines>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3350854"/>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3.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39</xdr:row>
      <xdr:rowOff>160560</xdr:rowOff>
    </xdr:from>
    <xdr:to>
      <xdr:col>7</xdr:col>
      <xdr:colOff>730440</xdr:colOff>
      <xdr:row>54</xdr:row>
      <xdr:rowOff>182520</xdr:rowOff>
    </xdr:to>
    <xdr:graphicFrame>
      <xdr:nvGraphicFramePr>
        <xdr:cNvPr id="0" name="Chart 1"/>
        <xdr:cNvGraphicFramePr/>
      </xdr:nvGraphicFramePr>
      <xdr:xfrm>
        <a:off x="493560" y="8943840"/>
        <a:ext cx="791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39</xdr:row>
      <xdr:rowOff>160560</xdr:rowOff>
    </xdr:from>
    <xdr:to>
      <xdr:col>14</xdr:col>
      <xdr:colOff>1193040</xdr:colOff>
      <xdr:row>54</xdr:row>
      <xdr:rowOff>182520</xdr:rowOff>
    </xdr:to>
    <xdr:graphicFrame>
      <xdr:nvGraphicFramePr>
        <xdr:cNvPr id="1" name="Chart 2"/>
        <xdr:cNvGraphicFramePr/>
      </xdr:nvGraphicFramePr>
      <xdr:xfrm>
        <a:off x="7682760" y="8943840"/>
        <a:ext cx="6479640" cy="287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A1:B42"/>
  <sheetViews>
    <sheetView showFormulas="false" showGridLines="false" showRowColHeaders="true" showZeros="true" rightToLeft="false" tabSelected="tru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10"/>
  </cols>
  <sheetData>
    <row r="1" customFormat="false" ht="17.35" hidden="false" customHeight="false" outlineLevel="0" collapsed="false">
      <c r="A1" s="1" t="s">
        <v>0</v>
      </c>
    </row>
    <row r="2" customFormat="false" ht="15" hidden="false" customHeight="false" outlineLevel="0" collapsed="false">
      <c r="A2" s="2" t="s">
        <v>1</v>
      </c>
    </row>
    <row r="4" customFormat="false" ht="35.05" hidden="false" customHeight="false" outlineLevel="0" collapsed="false">
      <c r="A4" s="3" t="s">
        <v>2</v>
      </c>
      <c r="B4" s="4" t="s">
        <v>3</v>
      </c>
    </row>
    <row r="5" customFormat="false" ht="15" hidden="false" customHeight="false" outlineLevel="0" collapsed="false">
      <c r="A5" s="3" t="s">
        <v>4</v>
      </c>
      <c r="B5" s="4" t="s">
        <v>5</v>
      </c>
    </row>
    <row r="6" customFormat="false" ht="15" hidden="false" customHeight="false" outlineLevel="0" collapsed="false">
      <c r="A6" s="3" t="s">
        <v>6</v>
      </c>
      <c r="B6" s="5" t="str">
        <f aca="false">IF(COUNTIF(Audit_Checks!$H$7:$H$56,"FAIL")=0,"ALL "&amp;COUNTA(Audit_Checks!$H$7:$H$56)&amp;" CHECKS PASS",COUNTIF(Audit_Checks!$H$7:$H$56,"FAIL")&amp;" OF "&amp;COUNTA(Audit_Checks!$H$7:$H$56)&amp;" CHECK(S) FAIL - see Audit_Checks")</f>
        <v>ALL 50 CHECKS PASS</v>
      </c>
    </row>
    <row r="7" customFormat="false" ht="15" hidden="false" customHeight="false" outlineLevel="0" collapsed="false">
      <c r="A7" s="6"/>
      <c r="B7" s="4"/>
    </row>
    <row r="8" customFormat="false" ht="15" hidden="false" customHeight="false" outlineLevel="0" collapsed="false">
      <c r="A8" s="7" t="s">
        <v>7</v>
      </c>
      <c r="B8" s="8" t="s">
        <v>8</v>
      </c>
    </row>
    <row r="9" customFormat="false" ht="15" hidden="false" customHeight="false" outlineLevel="0" collapsed="false">
      <c r="A9" s="6" t="s">
        <v>9</v>
      </c>
      <c r="B9" s="4" t="s">
        <v>10</v>
      </c>
    </row>
    <row r="10" customFormat="false" ht="23.85" hidden="false" customHeight="false" outlineLevel="0" collapsed="false">
      <c r="A10" s="6" t="s">
        <v>11</v>
      </c>
      <c r="B10" s="4" t="s">
        <v>12</v>
      </c>
    </row>
    <row r="11" customFormat="false" ht="23.85" hidden="false" customHeight="false" outlineLevel="0" collapsed="false">
      <c r="A11" s="7" t="s">
        <v>13</v>
      </c>
      <c r="B11" s="8" t="s">
        <v>14</v>
      </c>
    </row>
    <row r="12" customFormat="false" ht="15" hidden="false" customHeight="false" outlineLevel="0" collapsed="false">
      <c r="A12" s="6" t="s">
        <v>15</v>
      </c>
      <c r="B12" s="4" t="s">
        <v>16</v>
      </c>
    </row>
    <row r="13" customFormat="false" ht="15" hidden="false" customHeight="false" outlineLevel="0" collapsed="false">
      <c r="A13" s="6" t="s">
        <v>17</v>
      </c>
      <c r="B13" s="4" t="s">
        <v>18</v>
      </c>
    </row>
    <row r="14" customFormat="false" ht="15" hidden="false" customHeight="false" outlineLevel="0" collapsed="false">
      <c r="A14" s="9" t="s">
        <v>19</v>
      </c>
      <c r="B14" s="10" t="s">
        <v>20</v>
      </c>
    </row>
    <row r="15" customFormat="false" ht="23.85" hidden="false" customHeight="false" outlineLevel="0" collapsed="false">
      <c r="A15" s="6" t="s">
        <v>21</v>
      </c>
      <c r="B15" s="4" t="s">
        <v>22</v>
      </c>
    </row>
    <row r="16" customFormat="false" ht="23.85" hidden="false" customHeight="false" outlineLevel="0" collapsed="false">
      <c r="A16" s="6" t="s">
        <v>23</v>
      </c>
      <c r="B16" s="4" t="s">
        <v>24</v>
      </c>
    </row>
    <row r="17" customFormat="false" ht="15" hidden="false" customHeight="false" outlineLevel="0" collapsed="false">
      <c r="A17" s="6" t="s">
        <v>25</v>
      </c>
      <c r="B17" s="4" t="s">
        <v>26</v>
      </c>
    </row>
    <row r="18" customFormat="false" ht="15" hidden="false" customHeight="false" outlineLevel="0" collapsed="false">
      <c r="A18" s="6" t="s">
        <v>27</v>
      </c>
      <c r="B18" s="4" t="s">
        <v>28</v>
      </c>
    </row>
    <row r="19" customFormat="false" ht="15" hidden="false" customHeight="false" outlineLevel="0" collapsed="false">
      <c r="A19" s="6" t="s">
        <v>29</v>
      </c>
      <c r="B19" s="4" t="s">
        <v>30</v>
      </c>
    </row>
    <row r="20" customFormat="false" ht="15" hidden="false" customHeight="false" outlineLevel="0" collapsed="false">
      <c r="A20" s="6"/>
      <c r="B20" s="4"/>
    </row>
    <row r="21" customFormat="false" ht="15" hidden="false" customHeight="false" outlineLevel="0" collapsed="false">
      <c r="A21" s="7" t="s">
        <v>31</v>
      </c>
      <c r="B21" s="8"/>
    </row>
    <row r="22" customFormat="false" ht="23.85" hidden="false" customHeight="false" outlineLevel="0" collapsed="false">
      <c r="A22" s="6" t="s">
        <v>32</v>
      </c>
      <c r="B22" s="4" t="s">
        <v>33</v>
      </c>
    </row>
    <row r="23" customFormat="false" ht="15" hidden="false" customHeight="false" outlineLevel="0" collapsed="false">
      <c r="A23" s="6" t="s">
        <v>34</v>
      </c>
      <c r="B23" s="4" t="s">
        <v>35</v>
      </c>
    </row>
    <row r="24" customFormat="false" ht="15" hidden="false" customHeight="false" outlineLevel="0" collapsed="false">
      <c r="A24" s="6" t="s">
        <v>36</v>
      </c>
      <c r="B24" s="4" t="s">
        <v>37</v>
      </c>
    </row>
    <row r="25" customFormat="false" ht="23.85" hidden="false" customHeight="false" outlineLevel="0" collapsed="false">
      <c r="A25" s="6" t="s">
        <v>38</v>
      </c>
      <c r="B25" s="4" t="s">
        <v>39</v>
      </c>
    </row>
    <row r="26" customFormat="false" ht="23.85" hidden="false" customHeight="false" outlineLevel="0" collapsed="false">
      <c r="A26" s="7" t="s">
        <v>40</v>
      </c>
      <c r="B26" s="8" t="s">
        <v>41</v>
      </c>
    </row>
    <row r="27" customFormat="false" ht="15" hidden="false" customHeight="false" outlineLevel="0" collapsed="false">
      <c r="A27" s="6"/>
      <c r="B27" s="4"/>
    </row>
    <row r="28" customFormat="false" ht="15" hidden="false" customHeight="false" outlineLevel="0" collapsed="false">
      <c r="A28" s="7" t="s">
        <v>42</v>
      </c>
      <c r="B28" s="8"/>
    </row>
    <row r="29" customFormat="false" ht="15" hidden="false" customHeight="false" outlineLevel="0" collapsed="false">
      <c r="A29" s="6" t="s">
        <v>43</v>
      </c>
      <c r="B29" s="4" t="s">
        <v>44</v>
      </c>
    </row>
    <row r="30" customFormat="false" ht="15" hidden="false" customHeight="false" outlineLevel="0" collapsed="false">
      <c r="A30" s="6" t="s">
        <v>45</v>
      </c>
      <c r="B30" s="4" t="s">
        <v>46</v>
      </c>
    </row>
    <row r="31" customFormat="false" ht="15" hidden="false" customHeight="false" outlineLevel="0" collapsed="false">
      <c r="A31" s="6" t="s">
        <v>47</v>
      </c>
      <c r="B31" s="4" t="s">
        <v>48</v>
      </c>
    </row>
    <row r="32" customFormat="false" ht="23.85" hidden="false" customHeight="false" outlineLevel="0" collapsed="false">
      <c r="A32" s="11" t="s">
        <v>49</v>
      </c>
      <c r="B32" s="12" t="s">
        <v>50</v>
      </c>
    </row>
    <row r="33" customFormat="false" ht="23.85" hidden="false" customHeight="false" outlineLevel="0" collapsed="false">
      <c r="A33" s="6" t="s">
        <v>51</v>
      </c>
      <c r="B33" s="4" t="s">
        <v>52</v>
      </c>
    </row>
    <row r="34" customFormat="false" ht="15" hidden="false" customHeight="false" outlineLevel="0" collapsed="false">
      <c r="A34" s="6"/>
      <c r="B34" s="4"/>
    </row>
    <row r="35" customFormat="false" ht="15" hidden="false" customHeight="false" outlineLevel="0" collapsed="false">
      <c r="A35" s="7" t="s">
        <v>53</v>
      </c>
      <c r="B35" s="8" t="s">
        <v>54</v>
      </c>
    </row>
    <row r="36" customFormat="false" ht="15" hidden="false" customHeight="false" outlineLevel="0" collapsed="false">
      <c r="A36" s="7" t="s">
        <v>55</v>
      </c>
      <c r="B36" s="8" t="s">
        <v>56</v>
      </c>
    </row>
    <row r="37" customFormat="false" ht="15" hidden="false" customHeight="false" outlineLevel="0" collapsed="false">
      <c r="A37" s="7" t="s">
        <v>57</v>
      </c>
      <c r="B37" s="8" t="s">
        <v>58</v>
      </c>
    </row>
    <row r="38" customFormat="false" ht="15" hidden="false" customHeight="false" outlineLevel="0" collapsed="false">
      <c r="A38" s="7" t="s">
        <v>59</v>
      </c>
      <c r="B38" s="8" t="s">
        <v>60</v>
      </c>
    </row>
    <row r="39" customFormat="false" ht="15" hidden="false" customHeight="false" outlineLevel="0" collapsed="false">
      <c r="A39" s="7" t="s">
        <v>61</v>
      </c>
      <c r="B39" s="8" t="s">
        <v>62</v>
      </c>
    </row>
    <row r="40" customFormat="false" ht="15" hidden="false" customHeight="false" outlineLevel="0" collapsed="false">
      <c r="A40" s="6"/>
      <c r="B40" s="4"/>
    </row>
    <row r="41" customFormat="false" ht="35.05" hidden="false" customHeight="false" outlineLevel="0" collapsed="false">
      <c r="A41" s="7" t="s">
        <v>63</v>
      </c>
      <c r="B41" s="8" t="s">
        <v>64</v>
      </c>
    </row>
    <row r="42" customFormat="false" ht="15" hidden="false" customHeight="false" outlineLevel="0" collapsed="false">
      <c r="A42" s="6" t="s">
        <v>65</v>
      </c>
      <c r="B42" s="4" t="s">
        <v>66</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5A5A5"/>
    <pageSetUpPr fitToPage="true"/>
  </sheetPr>
  <dimension ref="A1:K86"/>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46"/>
    <col collapsed="false" customWidth="true" hidden="false" outlineLevel="0" max="3" min="3" style="0" width="8"/>
    <col collapsed="false" customWidth="true" hidden="false" outlineLevel="0" max="10" min="4" style="0" width="12"/>
    <col collapsed="false" customWidth="true" hidden="false" outlineLevel="0" max="11" min="11" style="0" width="44"/>
  </cols>
  <sheetData>
    <row r="1" customFormat="false" ht="17.35" hidden="false" customHeight="false" outlineLevel="0" collapsed="false">
      <c r="A1" s="1" t="s">
        <v>67</v>
      </c>
    </row>
    <row r="2" customFormat="false" ht="15" hidden="false" customHeight="false" outlineLevel="0" collapsed="false">
      <c r="A2" s="2" t="s">
        <v>68</v>
      </c>
    </row>
    <row r="3" customFormat="false" ht="15" hidden="false" customHeight="false" outlineLevel="0" collapsed="false">
      <c r="A3" s="2" t="s">
        <v>69</v>
      </c>
    </row>
    <row r="5" customFormat="false" ht="15" hidden="false" customHeight="false" outlineLevel="0" collapsed="false">
      <c r="A5" s="13" t="s">
        <v>70</v>
      </c>
      <c r="B5" s="13" t="s">
        <v>71</v>
      </c>
      <c r="C5" s="13" t="s">
        <v>72</v>
      </c>
      <c r="D5" s="13" t="s">
        <v>73</v>
      </c>
      <c r="E5" s="13" t="s">
        <v>74</v>
      </c>
      <c r="F5" s="13" t="s">
        <v>75</v>
      </c>
      <c r="G5" s="13" t="s">
        <v>76</v>
      </c>
      <c r="H5" s="13" t="s">
        <v>77</v>
      </c>
      <c r="I5" s="13" t="s">
        <v>78</v>
      </c>
      <c r="J5" s="13" t="s">
        <v>79</v>
      </c>
      <c r="K5" s="13" t="s">
        <v>80</v>
      </c>
    </row>
    <row r="6" customFormat="false" ht="15" hidden="false" customHeight="false" outlineLevel="0" collapsed="false">
      <c r="A6" s="3" t="s">
        <v>81</v>
      </c>
      <c r="B6" s="6" t="s">
        <v>82</v>
      </c>
      <c r="C6" s="6" t="s">
        <v>83</v>
      </c>
      <c r="D6" s="14" t="n">
        <f aca="false">IF(COUNTIFS(Data_Long!$A$6:$A$243,D$5,Data_Long!$B$6:$B$243,$A6)=0,"",SUMIFS(Data_Long!$D$6:$D$243,Data_Long!$A$6:$A$243,D$5,Data_Long!$B$6:$B$243,$A6))</f>
        <v>20430.922514</v>
      </c>
      <c r="E6" s="14" t="n">
        <f aca="false">IF(COUNTIFS(Data_Long!$A$6:$A$243,E$5,Data_Long!$B$6:$B$243,$A6)=0,"",SUMIFS(Data_Long!$D$6:$D$243,Data_Long!$A$6:$A$243,E$5,Data_Long!$B$6:$B$243,$A6))</f>
        <v>20098.709794</v>
      </c>
      <c r="F6" s="14" t="n">
        <f aca="false">IF(COUNTIFS(Data_Long!$A$6:$A$243,F$5,Data_Long!$B$6:$B$243,$A6)=0,"",SUMIFS(Data_Long!$D$6:$D$243,Data_Long!$A$6:$A$243,F$5,Data_Long!$B$6:$B$243,$A6))</f>
        <v>19457.008656</v>
      </c>
      <c r="G6" s="14" t="n">
        <f aca="false">IF(COUNTIFS(Data_Long!$A$6:$A$243,G$5,Data_Long!$B$6:$B$243,$A6)=0,"",SUMIFS(Data_Long!$D$6:$D$243,Data_Long!$A$6:$A$243,G$5,Data_Long!$B$6:$B$243,$A6))</f>
        <v>20626.284337</v>
      </c>
      <c r="H6" s="14" t="n">
        <f aca="false">IF(COUNTIFS(Data_Long!$A$6:$A$243,H$5,Data_Long!$B$6:$B$243,$A6)=0,"",SUMIFS(Data_Long!$D$6:$D$243,Data_Long!$A$6:$A$243,H$5,Data_Long!$B$6:$B$243,$A6))</f>
        <v>18157.27498</v>
      </c>
      <c r="I6" s="14" t="n">
        <f aca="false">IF(COUNTIFS(Data_Long!$A$6:$A$243,I$5,Data_Long!$B$6:$B$243,$A6)=0,"",SUMIFS(Data_Long!$D$6:$D$243,Data_Long!$A$6:$A$243,I$5,Data_Long!$B$6:$B$243,$A6))</f>
        <v>18114.352911</v>
      </c>
      <c r="J6" s="14" t="n">
        <f aca="false">IF(COUNTIFS(Data_Long!$A$6:$A$243,J$5,Data_Long!$B$6:$B$243,$A6)=0,"",SUMIFS(Data_Long!$D$6:$D$243,Data_Long!$A$6:$A$243,J$5,Data_Long!$B$6:$B$243,$A6))</f>
        <v>17229.455528</v>
      </c>
      <c r="K6" s="2" t="s">
        <v>84</v>
      </c>
    </row>
    <row r="7" customFormat="false" ht="15" hidden="false" customHeight="false" outlineLevel="0" collapsed="false">
      <c r="A7" s="3" t="s">
        <v>85</v>
      </c>
      <c r="B7" s="6" t="s">
        <v>86</v>
      </c>
      <c r="C7" s="6" t="s">
        <v>83</v>
      </c>
      <c r="D7" s="14" t="n">
        <f aca="false">IF(COUNTIFS(Data_Long!$A$6:$A$243,D$5,Data_Long!$B$6:$B$243,$A7)=0,"",SUMIFS(Data_Long!$D$6:$D$243,Data_Long!$A$6:$A$243,D$5,Data_Long!$B$6:$B$243,$A7))</f>
        <v>-14521.514834</v>
      </c>
      <c r="E7" s="14" t="n">
        <f aca="false">IF(COUNTIFS(Data_Long!$A$6:$A$243,E$5,Data_Long!$B$6:$B$243,$A7)=0,"",SUMIFS(Data_Long!$D$6:$D$243,Data_Long!$A$6:$A$243,E$5,Data_Long!$B$6:$B$243,$A7))</f>
        <v>-14402.25453</v>
      </c>
      <c r="F7" s="14" t="n">
        <f aca="false">IF(COUNTIFS(Data_Long!$A$6:$A$243,F$5,Data_Long!$B$6:$B$243,$A7)=0,"",SUMIFS(Data_Long!$D$6:$D$243,Data_Long!$A$6:$A$243,F$5,Data_Long!$B$6:$B$243,$A7))</f>
        <v>-14251.02907</v>
      </c>
      <c r="G7" s="14" t="n">
        <f aca="false">IF(COUNTIFS(Data_Long!$A$6:$A$243,G$5,Data_Long!$B$6:$B$243,$A7)=0,"",SUMIFS(Data_Long!$D$6:$D$243,Data_Long!$A$6:$A$243,G$5,Data_Long!$B$6:$B$243,$A7))</f>
        <v>-15504.836769</v>
      </c>
      <c r="H7" s="14" t="n">
        <f aca="false">IF(COUNTIFS(Data_Long!$A$6:$A$243,H$5,Data_Long!$B$6:$B$243,$A7)=0,"",SUMIFS(Data_Long!$D$6:$D$243,Data_Long!$A$6:$A$243,H$5,Data_Long!$B$6:$B$243,$A7))</f>
        <v>-14793.386042</v>
      </c>
      <c r="I7" s="14" t="n">
        <f aca="false">IF(COUNTIFS(Data_Long!$A$6:$A$243,I$5,Data_Long!$B$6:$B$243,$A7)=0,"",SUMIFS(Data_Long!$D$6:$D$243,Data_Long!$A$6:$A$243,I$5,Data_Long!$B$6:$B$243,$A7))</f>
        <v>-16427.363927</v>
      </c>
      <c r="J7" s="14" t="n">
        <f aca="false">IF(COUNTIFS(Data_Long!$A$6:$A$243,J$5,Data_Long!$B$6:$B$243,$A7)=0,"",SUMIFS(Data_Long!$D$6:$D$243,Data_Long!$A$6:$A$243,J$5,Data_Long!$B$6:$B$243,$A7))</f>
        <v>-13763.625045</v>
      </c>
      <c r="K7" s="2" t="s">
        <v>84</v>
      </c>
    </row>
    <row r="8" customFormat="false" ht="15" hidden="false" customHeight="false" outlineLevel="0" collapsed="false">
      <c r="A8" s="3" t="s">
        <v>87</v>
      </c>
      <c r="B8" s="6" t="s">
        <v>88</v>
      </c>
      <c r="C8" s="6" t="s">
        <v>83</v>
      </c>
      <c r="D8" s="14" t="n">
        <f aca="false">IF(COUNTIFS(Data_Long!$A$6:$A$243,D$5,Data_Long!$B$6:$B$243,$A8)=0,"",SUMIFS(Data_Long!$D$6:$D$243,Data_Long!$A$6:$A$243,D$5,Data_Long!$B$6:$B$243,$A8))</f>
        <v>5909.407679</v>
      </c>
      <c r="E8" s="14" t="n">
        <f aca="false">IF(COUNTIFS(Data_Long!$A$6:$A$243,E$5,Data_Long!$B$6:$B$243,$A8)=0,"",SUMIFS(Data_Long!$D$6:$D$243,Data_Long!$A$6:$A$243,E$5,Data_Long!$B$6:$B$243,$A8))</f>
        <v>5696.455265</v>
      </c>
      <c r="F8" s="14" t="n">
        <f aca="false">IF(COUNTIFS(Data_Long!$A$6:$A$243,F$5,Data_Long!$B$6:$B$243,$A8)=0,"",SUMIFS(Data_Long!$D$6:$D$243,Data_Long!$A$6:$A$243,F$5,Data_Long!$B$6:$B$243,$A8))</f>
        <v>5205.979586</v>
      </c>
      <c r="G8" s="14" t="n">
        <f aca="false">IF(COUNTIFS(Data_Long!$A$6:$A$243,G$5,Data_Long!$B$6:$B$243,$A8)=0,"",SUMIFS(Data_Long!$D$6:$D$243,Data_Long!$A$6:$A$243,G$5,Data_Long!$B$6:$B$243,$A8))</f>
        <v>5121.447568</v>
      </c>
      <c r="H8" s="14" t="n">
        <f aca="false">IF(COUNTIFS(Data_Long!$A$6:$A$243,H$5,Data_Long!$B$6:$B$243,$A8)=0,"",SUMIFS(Data_Long!$D$6:$D$243,Data_Long!$A$6:$A$243,H$5,Data_Long!$B$6:$B$243,$A8))</f>
        <v>3363.888939</v>
      </c>
      <c r="I8" s="14" t="n">
        <f aca="false">IF(COUNTIFS(Data_Long!$A$6:$A$243,I$5,Data_Long!$B$6:$B$243,$A8)=0,"",SUMIFS(Data_Long!$D$6:$D$243,Data_Long!$A$6:$A$243,I$5,Data_Long!$B$6:$B$243,$A8))</f>
        <v>1686.988983</v>
      </c>
      <c r="J8" s="14" t="n">
        <f aca="false">IF(COUNTIFS(Data_Long!$A$6:$A$243,J$5,Data_Long!$B$6:$B$243,$A8)=0,"",SUMIFS(Data_Long!$D$6:$D$243,Data_Long!$A$6:$A$243,J$5,Data_Long!$B$6:$B$243,$A8))</f>
        <v>3465.830483</v>
      </c>
      <c r="K8" s="2" t="s">
        <v>84</v>
      </c>
    </row>
    <row r="9" customFormat="false" ht="15" hidden="false" customHeight="false" outlineLevel="0" collapsed="false">
      <c r="A9" s="3" t="s">
        <v>89</v>
      </c>
      <c r="B9" s="6" t="s">
        <v>90</v>
      </c>
      <c r="C9" s="6" t="s">
        <v>83</v>
      </c>
      <c r="D9" s="14" t="n">
        <f aca="false">IF(COUNTIFS(Data_Long!$A$6:$A$243,D$5,Data_Long!$B$6:$B$243,$A9)=0,"",SUMIFS(Data_Long!$D$6:$D$243,Data_Long!$A$6:$A$243,D$5,Data_Long!$B$6:$B$243,$A9))</f>
        <v>-1292.930726</v>
      </c>
      <c r="E9" s="14" t="n">
        <f aca="false">IF(COUNTIFS(Data_Long!$A$6:$A$243,E$5,Data_Long!$B$6:$B$243,$A9)=0,"",SUMIFS(Data_Long!$D$6:$D$243,Data_Long!$A$6:$A$243,E$5,Data_Long!$B$6:$B$243,$A9))</f>
        <v>-1576.460718</v>
      </c>
      <c r="F9" s="14" t="n">
        <f aca="false">IF(COUNTIFS(Data_Long!$A$6:$A$243,F$5,Data_Long!$B$6:$B$243,$A9)=0,"",SUMIFS(Data_Long!$D$6:$D$243,Data_Long!$A$6:$A$243,F$5,Data_Long!$B$6:$B$243,$A9))</f>
        <v>-1379.265887</v>
      </c>
      <c r="G9" s="14" t="n">
        <f aca="false">IF(COUNTIFS(Data_Long!$A$6:$A$243,G$5,Data_Long!$B$6:$B$243,$A9)=0,"",SUMIFS(Data_Long!$D$6:$D$243,Data_Long!$A$6:$A$243,G$5,Data_Long!$B$6:$B$243,$A9))</f>
        <v>-1720.129296</v>
      </c>
      <c r="H9" s="14" t="n">
        <f aca="false">IF(COUNTIFS(Data_Long!$A$6:$A$243,H$5,Data_Long!$B$6:$B$243,$A9)=0,"",SUMIFS(Data_Long!$D$6:$D$243,Data_Long!$A$6:$A$243,H$5,Data_Long!$B$6:$B$243,$A9))</f>
        <v>-1310.313838</v>
      </c>
      <c r="I9" s="14" t="n">
        <f aca="false">IF(COUNTIFS(Data_Long!$A$6:$A$243,I$5,Data_Long!$B$6:$B$243,$A9)=0,"",SUMIFS(Data_Long!$D$6:$D$243,Data_Long!$A$6:$A$243,I$5,Data_Long!$B$6:$B$243,$A9))</f>
        <v>-1485.268479</v>
      </c>
      <c r="J9" s="14" t="n">
        <f aca="false">IF(COUNTIFS(Data_Long!$A$6:$A$243,J$5,Data_Long!$B$6:$B$243,$A9)=0,"",SUMIFS(Data_Long!$D$6:$D$243,Data_Long!$A$6:$A$243,J$5,Data_Long!$B$6:$B$243,$A9))</f>
        <v>-1278.459427</v>
      </c>
      <c r="K9" s="2" t="s">
        <v>84</v>
      </c>
    </row>
    <row r="10" customFormat="false" ht="15" hidden="false" customHeight="false" outlineLevel="0" collapsed="false">
      <c r="A10" s="3" t="s">
        <v>91</v>
      </c>
      <c r="B10" s="6" t="s">
        <v>92</v>
      </c>
      <c r="C10" s="6" t="s">
        <v>83</v>
      </c>
      <c r="D10" s="14" t="n">
        <f aca="false">IF(COUNTIFS(Data_Long!$A$6:$A$243,D$5,Data_Long!$B$6:$B$243,$A10)=0,"",SUMIFS(Data_Long!$D$6:$D$243,Data_Long!$A$6:$A$243,D$5,Data_Long!$B$6:$B$243,$A10))</f>
        <v>-875.095622</v>
      </c>
      <c r="E10" s="14" t="n">
        <f aca="false">IF(COUNTIFS(Data_Long!$A$6:$A$243,E$5,Data_Long!$B$6:$B$243,$A10)=0,"",SUMIFS(Data_Long!$D$6:$D$243,Data_Long!$A$6:$A$243,E$5,Data_Long!$B$6:$B$243,$A10))</f>
        <v>-911.689413</v>
      </c>
      <c r="F10" s="14" t="n">
        <f aca="false">IF(COUNTIFS(Data_Long!$A$6:$A$243,F$5,Data_Long!$B$6:$B$243,$A10)=0,"",SUMIFS(Data_Long!$D$6:$D$243,Data_Long!$A$6:$A$243,F$5,Data_Long!$B$6:$B$243,$A10))</f>
        <v>-951.828897</v>
      </c>
      <c r="G10" s="14" t="n">
        <f aca="false">IF(COUNTIFS(Data_Long!$A$6:$A$243,G$5,Data_Long!$B$6:$B$243,$A10)=0,"",SUMIFS(Data_Long!$D$6:$D$243,Data_Long!$A$6:$A$243,G$5,Data_Long!$B$6:$B$243,$A10))</f>
        <v>-907.45239</v>
      </c>
      <c r="H10" s="14" t="n">
        <f aca="false">IF(COUNTIFS(Data_Long!$A$6:$A$243,H$5,Data_Long!$B$6:$B$243,$A10)=0,"",SUMIFS(Data_Long!$D$6:$D$243,Data_Long!$A$6:$A$243,H$5,Data_Long!$B$6:$B$243,$A10))</f>
        <v>-977.853272</v>
      </c>
      <c r="I10" s="14" t="n">
        <f aca="false">IF(COUNTIFS(Data_Long!$A$6:$A$243,I$5,Data_Long!$B$6:$B$243,$A10)=0,"",SUMIFS(Data_Long!$D$6:$D$243,Data_Long!$A$6:$A$243,I$5,Data_Long!$B$6:$B$243,$A10))</f>
        <v>-920.810086</v>
      </c>
      <c r="J10" s="14" t="n">
        <f aca="false">IF(COUNTIFS(Data_Long!$A$6:$A$243,J$5,Data_Long!$B$6:$B$243,$A10)=0,"",SUMIFS(Data_Long!$D$6:$D$243,Data_Long!$A$6:$A$243,J$5,Data_Long!$B$6:$B$243,$A10))</f>
        <v>-997.072323</v>
      </c>
      <c r="K10" s="2" t="s">
        <v>84</v>
      </c>
    </row>
    <row r="11" customFormat="false" ht="15" hidden="false" customHeight="false" outlineLevel="0" collapsed="false">
      <c r="A11" s="3" t="s">
        <v>93</v>
      </c>
      <c r="B11" s="6" t="s">
        <v>94</v>
      </c>
      <c r="C11" s="6" t="s">
        <v>83</v>
      </c>
      <c r="D11" s="14" t="n">
        <f aca="false">IF(COUNTIFS(Data_Long!$A$6:$A$243,D$5,Data_Long!$B$6:$B$243,$A11)=0,"",SUMIFS(Data_Long!$D$6:$D$243,Data_Long!$A$6:$A$243,D$5,Data_Long!$B$6:$B$243,$A11))</f>
        <v>110.853882</v>
      </c>
      <c r="E11" s="14" t="n">
        <f aca="false">IF(COUNTIFS(Data_Long!$A$6:$A$243,E$5,Data_Long!$B$6:$B$243,$A11)=0,"",SUMIFS(Data_Long!$D$6:$D$243,Data_Long!$A$6:$A$243,E$5,Data_Long!$B$6:$B$243,$A11))</f>
        <v>223.767275</v>
      </c>
      <c r="F11" s="14" t="n">
        <f aca="false">IF(COUNTIFS(Data_Long!$A$6:$A$243,F$5,Data_Long!$B$6:$B$243,$A11)=0,"",SUMIFS(Data_Long!$D$6:$D$243,Data_Long!$A$6:$A$243,F$5,Data_Long!$B$6:$B$243,$A11))</f>
        <v>186.57065</v>
      </c>
      <c r="G11" s="14" t="n">
        <f aca="false">IF(COUNTIFS(Data_Long!$A$6:$A$243,G$5,Data_Long!$B$6:$B$243,$A11)=0,"",SUMIFS(Data_Long!$D$6:$D$243,Data_Long!$A$6:$A$243,G$5,Data_Long!$B$6:$B$243,$A11))</f>
        <v>81.571308</v>
      </c>
      <c r="H11" s="14" t="n">
        <f aca="false">IF(COUNTIFS(Data_Long!$A$6:$A$243,H$5,Data_Long!$B$6:$B$243,$A11)=0,"",SUMIFS(Data_Long!$D$6:$D$243,Data_Long!$A$6:$A$243,H$5,Data_Long!$B$6:$B$243,$A11))</f>
        <v>-68.930531</v>
      </c>
      <c r="I11" s="14" t="n">
        <f aca="false">IF(COUNTIFS(Data_Long!$A$6:$A$243,I$5,Data_Long!$B$6:$B$243,$A11)=0,"",SUMIFS(Data_Long!$D$6:$D$243,Data_Long!$A$6:$A$243,I$5,Data_Long!$B$6:$B$243,$A11))</f>
        <v>125.582254</v>
      </c>
      <c r="J11" s="14" t="n">
        <f aca="false">IF(COUNTIFS(Data_Long!$A$6:$A$243,J$5,Data_Long!$B$6:$B$243,$A11)=0,"",SUMIFS(Data_Long!$D$6:$D$243,Data_Long!$A$6:$A$243,J$5,Data_Long!$B$6:$B$243,$A11))</f>
        <v>157.886315</v>
      </c>
      <c r="K11" s="2" t="s">
        <v>84</v>
      </c>
    </row>
    <row r="12" customFormat="false" ht="15" hidden="false" customHeight="false" outlineLevel="0" collapsed="false">
      <c r="A12" s="3" t="s">
        <v>95</v>
      </c>
      <c r="B12" s="6" t="s">
        <v>96</v>
      </c>
      <c r="C12" s="6" t="s">
        <v>83</v>
      </c>
      <c r="D12" s="14" t="n">
        <f aca="false">IF(COUNTIFS(Data_Long!$A$6:$A$243,D$5,Data_Long!$B$6:$B$243,$A12)=0,"",SUMIFS(Data_Long!$D$6:$D$243,Data_Long!$A$6:$A$243,D$5,Data_Long!$B$6:$B$243,$A12))</f>
        <v>3852.235213</v>
      </c>
      <c r="E12" s="14" t="n">
        <f aca="false">IF(COUNTIFS(Data_Long!$A$6:$A$243,E$5,Data_Long!$B$6:$B$243,$A12)=0,"",SUMIFS(Data_Long!$D$6:$D$243,Data_Long!$A$6:$A$243,E$5,Data_Long!$B$6:$B$243,$A12))</f>
        <v>3432.07241</v>
      </c>
      <c r="F12" s="14" t="n">
        <f aca="false">IF(COUNTIFS(Data_Long!$A$6:$A$243,F$5,Data_Long!$B$6:$B$243,$A12)=0,"",SUMIFS(Data_Long!$D$6:$D$243,Data_Long!$A$6:$A$243,F$5,Data_Long!$B$6:$B$243,$A12))</f>
        <v>3061.455452</v>
      </c>
      <c r="G12" s="14" t="n">
        <f aca="false">IF(COUNTIFS(Data_Long!$A$6:$A$243,G$5,Data_Long!$B$6:$B$243,$A12)=0,"",SUMIFS(Data_Long!$D$6:$D$243,Data_Long!$A$6:$A$243,G$5,Data_Long!$B$6:$B$243,$A12))</f>
        <v>2575.43719</v>
      </c>
      <c r="H12" s="14" t="n">
        <f aca="false">IF(COUNTIFS(Data_Long!$A$6:$A$243,H$5,Data_Long!$B$6:$B$243,$A12)=0,"",SUMIFS(Data_Long!$D$6:$D$243,Data_Long!$A$6:$A$243,H$5,Data_Long!$B$6:$B$243,$A12))</f>
        <v>1006.791297</v>
      </c>
      <c r="I12" s="14" t="n">
        <f aca="false">IF(COUNTIFS(Data_Long!$A$6:$A$243,I$5,Data_Long!$B$6:$B$243,$A12)=0,"",SUMIFS(Data_Long!$D$6:$D$243,Data_Long!$A$6:$A$243,I$5,Data_Long!$B$6:$B$243,$A12))</f>
        <v>-593.507328</v>
      </c>
      <c r="J12" s="14" t="n">
        <f aca="false">IF(COUNTIFS(Data_Long!$A$6:$A$243,J$5,Data_Long!$B$6:$B$243,$A12)=0,"",SUMIFS(Data_Long!$D$6:$D$243,Data_Long!$A$6:$A$243,J$5,Data_Long!$B$6:$B$243,$A12))</f>
        <v>1348.185049</v>
      </c>
      <c r="K12" s="2" t="s">
        <v>84</v>
      </c>
    </row>
    <row r="13" customFormat="false" ht="15" hidden="false" customHeight="false" outlineLevel="0" collapsed="false">
      <c r="A13" s="3" t="s">
        <v>97</v>
      </c>
      <c r="B13" s="6" t="s">
        <v>98</v>
      </c>
      <c r="C13" s="6" t="s">
        <v>83</v>
      </c>
      <c r="D13" s="14" t="n">
        <f aca="false">IF(COUNTIFS(Data_Long!$A$6:$A$243,D$5,Data_Long!$B$6:$B$243,$A13)=0,"",SUMIFS(Data_Long!$D$6:$D$243,Data_Long!$A$6:$A$243,D$5,Data_Long!$B$6:$B$243,$A13))</f>
        <v>18892</v>
      </c>
      <c r="E13" s="14" t="n">
        <f aca="false">IF(COUNTIFS(Data_Long!$A$6:$A$243,E$5,Data_Long!$B$6:$B$243,$A13)=0,"",SUMIFS(Data_Long!$D$6:$D$243,Data_Long!$A$6:$A$243,E$5,Data_Long!$B$6:$B$243,$A13))</f>
        <v>18457</v>
      </c>
      <c r="F13" s="14" t="n">
        <f aca="false">IF(COUNTIFS(Data_Long!$A$6:$A$243,F$5,Data_Long!$B$6:$B$243,$A13)=0,"",SUMIFS(Data_Long!$D$6:$D$243,Data_Long!$A$6:$A$243,F$5,Data_Long!$B$6:$B$243,$A13))</f>
        <v>17695</v>
      </c>
      <c r="G13" s="14" t="n">
        <f aca="false">IF(COUNTIFS(Data_Long!$A$6:$A$243,G$5,Data_Long!$B$6:$B$243,$A13)=0,"",SUMIFS(Data_Long!$D$6:$D$243,Data_Long!$A$6:$A$243,G$5,Data_Long!$B$6:$B$243,$A13))</f>
        <v>18743</v>
      </c>
      <c r="H13" s="14" t="n">
        <f aca="false">IF(COUNTIFS(Data_Long!$A$6:$A$243,H$5,Data_Long!$B$6:$B$243,$A13)=0,"",SUMIFS(Data_Long!$D$6:$D$243,Data_Long!$A$6:$A$243,H$5,Data_Long!$B$6:$B$243,$A13))</f>
        <v>16138</v>
      </c>
      <c r="I13" s="14" t="n">
        <f aca="false">IF(COUNTIFS(Data_Long!$A$6:$A$243,I$5,Data_Long!$B$6:$B$243,$A13)=0,"",SUMIFS(Data_Long!$D$6:$D$243,Data_Long!$A$6:$A$243,I$5,Data_Long!$B$6:$B$243,$A13))</f>
        <v>16047</v>
      </c>
      <c r="J13" s="14" t="n">
        <f aca="false">IF(COUNTIFS(Data_Long!$A$6:$A$243,J$5,Data_Long!$B$6:$B$243,$A13)=0,"",SUMIFS(Data_Long!$D$6:$D$243,Data_Long!$A$6:$A$243,J$5,Data_Long!$B$6:$B$243,$A13))</f>
        <v>15158</v>
      </c>
      <c r="K13" s="2" t="s">
        <v>99</v>
      </c>
    </row>
    <row r="14" customFormat="false" ht="15" hidden="false" customHeight="false" outlineLevel="0" collapsed="false">
      <c r="A14" s="3" t="s">
        <v>100</v>
      </c>
      <c r="B14" s="6" t="s">
        <v>101</v>
      </c>
      <c r="C14" s="6" t="s">
        <v>83</v>
      </c>
      <c r="D14" s="14" t="n">
        <f aca="false">IF(COUNTIFS(Data_Long!$A$6:$A$243,D$5,Data_Long!$B$6:$B$243,$A14)=0,"",SUMIFS(Data_Long!$D$6:$D$243,Data_Long!$A$6:$A$243,D$5,Data_Long!$B$6:$B$243,$A14))</f>
        <v>3653</v>
      </c>
      <c r="E14" s="14" t="n">
        <f aca="false">IF(COUNTIFS(Data_Long!$A$6:$A$243,E$5,Data_Long!$B$6:$B$243,$A14)=0,"",SUMIFS(Data_Long!$D$6:$D$243,Data_Long!$A$6:$A$243,E$5,Data_Long!$B$6:$B$243,$A14))</f>
        <v>3285</v>
      </c>
      <c r="F14" s="14" t="n">
        <f aca="false">IF(COUNTIFS(Data_Long!$A$6:$A$243,F$5,Data_Long!$B$6:$B$243,$A14)=0,"",SUMIFS(Data_Long!$D$6:$D$243,Data_Long!$A$6:$A$243,F$5,Data_Long!$B$6:$B$243,$A14))</f>
        <v>2904</v>
      </c>
      <c r="G14" s="14" t="n">
        <f aca="false">IF(COUNTIFS(Data_Long!$A$6:$A$243,G$5,Data_Long!$B$6:$B$243,$A14)=0,"",SUMIFS(Data_Long!$D$6:$D$243,Data_Long!$A$6:$A$243,G$5,Data_Long!$B$6:$B$243,$A14))</f>
        <v>2382</v>
      </c>
      <c r="H14" s="14" t="n">
        <f aca="false">IF(COUNTIFS(Data_Long!$A$6:$A$243,H$5,Data_Long!$B$6:$B$243,$A14)=0,"",SUMIFS(Data_Long!$D$6:$D$243,Data_Long!$A$6:$A$243,H$5,Data_Long!$B$6:$B$243,$A14))</f>
        <v>832</v>
      </c>
      <c r="I14" s="14" t="n">
        <f aca="false">IF(COUNTIFS(Data_Long!$A$6:$A$243,I$5,Data_Long!$B$6:$B$243,$A14)=0,"",SUMIFS(Data_Long!$D$6:$D$243,Data_Long!$A$6:$A$243,I$5,Data_Long!$B$6:$B$243,$A14))</f>
        <v>-742</v>
      </c>
      <c r="J14" s="14" t="n">
        <f aca="false">IF(COUNTIFS(Data_Long!$A$6:$A$243,J$5,Data_Long!$B$6:$B$243,$A14)=0,"",SUMIFS(Data_Long!$D$6:$D$243,Data_Long!$A$6:$A$243,J$5,Data_Long!$B$6:$B$243,$A14))</f>
        <v>1208</v>
      </c>
      <c r="K14" s="2" t="s">
        <v>99</v>
      </c>
    </row>
    <row r="15" customFormat="false" ht="15" hidden="false" customHeight="false" outlineLevel="0" collapsed="false">
      <c r="A15" s="3" t="s">
        <v>102</v>
      </c>
      <c r="B15" s="6" t="s">
        <v>103</v>
      </c>
      <c r="C15" s="6" t="s">
        <v>83</v>
      </c>
      <c r="D15" s="14" t="n">
        <f aca="false">IF(COUNTIFS(Data_Long!$A$6:$A$243,D$5,Data_Long!$B$6:$B$243,$A15)=0,"",SUMIFS(Data_Long!$D$6:$D$243,Data_Long!$A$6:$A$243,D$5,Data_Long!$B$6:$B$243,$A15))</f>
        <v>4829</v>
      </c>
      <c r="E15" s="14" t="n">
        <f aca="false">IF(COUNTIFS(Data_Long!$A$6:$A$243,E$5,Data_Long!$B$6:$B$243,$A15)=0,"",SUMIFS(Data_Long!$D$6:$D$243,Data_Long!$A$6:$A$243,E$5,Data_Long!$B$6:$B$243,$A15))</f>
        <v>4765</v>
      </c>
      <c r="F15" s="14" t="n">
        <f aca="false">IF(COUNTIFS(Data_Long!$A$6:$A$243,F$5,Data_Long!$B$6:$B$243,$A15)=0,"",SUMIFS(Data_Long!$D$6:$D$243,Data_Long!$A$6:$A$243,F$5,Data_Long!$B$6:$B$243,$A15))</f>
        <v>4268</v>
      </c>
      <c r="G15" s="14" t="n">
        <f aca="false">IF(COUNTIFS(Data_Long!$A$6:$A$243,G$5,Data_Long!$B$6:$B$243,$A15)=0,"",SUMIFS(Data_Long!$D$6:$D$243,Data_Long!$A$6:$A$243,G$5,Data_Long!$B$6:$B$243,$A15))</f>
        <v>4003</v>
      </c>
      <c r="H15" s="14" t="n">
        <f aca="false">IF(COUNTIFS(Data_Long!$A$6:$A$243,H$5,Data_Long!$B$6:$B$243,$A15)=0,"",SUMIFS(Data_Long!$D$6:$D$243,Data_Long!$A$6:$A$243,H$5,Data_Long!$B$6:$B$243,$A15))</f>
        <v>2588</v>
      </c>
      <c r="I15" s="14" t="n">
        <f aca="false">IF(COUNTIFS(Data_Long!$A$6:$A$243,I$5,Data_Long!$B$6:$B$243,$A15)=0,"",SUMIFS(Data_Long!$D$6:$D$243,Data_Long!$A$6:$A$243,I$5,Data_Long!$B$6:$B$243,$A15))</f>
        <v>1694</v>
      </c>
      <c r="J15" s="14" t="n">
        <f aca="false">IF(COUNTIFS(Data_Long!$A$6:$A$243,J$5,Data_Long!$B$6:$B$243,$A15)=0,"",SUMIFS(Data_Long!$D$6:$D$243,Data_Long!$A$6:$A$243,J$5,Data_Long!$B$6:$B$243,$A15))</f>
        <v>2767</v>
      </c>
      <c r="K15" s="2" t="s">
        <v>99</v>
      </c>
    </row>
    <row r="16" customFormat="false" ht="15" hidden="false" customHeight="false" outlineLevel="0" collapsed="false">
      <c r="A16" s="3" t="s">
        <v>104</v>
      </c>
      <c r="B16" s="6" t="s">
        <v>105</v>
      </c>
      <c r="C16" s="6" t="s">
        <v>106</v>
      </c>
      <c r="D16" s="15" t="n">
        <f aca="false">IF(COUNTIFS(Data_Long!$A$6:$A$243,D$5,Data_Long!$B$6:$B$243,$A16)=0,"",SUMIFS(Data_Long!$D$6:$D$243,Data_Long!$A$6:$A$243,D$5,Data_Long!$B$6:$B$243,$A16))</f>
        <v>25.6</v>
      </c>
      <c r="E16" s="15" t="str">
        <f aca="false">IF(COUNTIFS(Data_Long!$A$6:$A$243,E$5,Data_Long!$B$6:$B$243,$A16)=0,"",SUMIFS(Data_Long!$D$6:$D$243,Data_Long!$A$6:$A$243,E$5,Data_Long!$B$6:$B$243,$A16))</f>
        <v/>
      </c>
      <c r="F16" s="15" t="n">
        <f aca="false">IF(COUNTIFS(Data_Long!$A$6:$A$243,F$5,Data_Long!$B$6:$B$243,$A16)=0,"",SUMIFS(Data_Long!$D$6:$D$243,Data_Long!$A$6:$A$243,F$5,Data_Long!$B$6:$B$243,$A16))</f>
        <v>24.1</v>
      </c>
      <c r="G16" s="15" t="str">
        <f aca="false">IF(COUNTIFS(Data_Long!$A$6:$A$243,G$5,Data_Long!$B$6:$B$243,$A16)=0,"",SUMIFS(Data_Long!$D$6:$D$243,Data_Long!$A$6:$A$243,G$5,Data_Long!$B$6:$B$243,$A16))</f>
        <v/>
      </c>
      <c r="H16" s="15" t="n">
        <f aca="false">IF(COUNTIFS(Data_Long!$A$6:$A$243,H$5,Data_Long!$B$6:$B$243,$A16)=0,"",SUMIFS(Data_Long!$D$6:$D$243,Data_Long!$A$6:$A$243,H$5,Data_Long!$B$6:$B$243,$A16))</f>
        <v>16</v>
      </c>
      <c r="I16" s="15" t="str">
        <f aca="false">IF(COUNTIFS(Data_Long!$A$6:$A$243,I$5,Data_Long!$B$6:$B$243,$A16)=0,"",SUMIFS(Data_Long!$D$6:$D$243,Data_Long!$A$6:$A$243,I$5,Data_Long!$B$6:$B$243,$A16))</f>
        <v/>
      </c>
      <c r="J16" s="15" t="n">
        <f aca="false">IF(COUNTIFS(Data_Long!$A$6:$A$243,J$5,Data_Long!$B$6:$B$243,$A16)=0,"",SUMIFS(Data_Long!$D$6:$D$243,Data_Long!$A$6:$A$243,J$5,Data_Long!$B$6:$B$243,$A16))</f>
        <v>18.3</v>
      </c>
      <c r="K16" s="2" t="s">
        <v>107</v>
      </c>
    </row>
    <row r="17" customFormat="false" ht="15" hidden="false" customHeight="false" outlineLevel="0" collapsed="false">
      <c r="A17" s="3" t="s">
        <v>108</v>
      </c>
      <c r="B17" s="6" t="s">
        <v>109</v>
      </c>
      <c r="C17" s="6" t="s">
        <v>83</v>
      </c>
      <c r="D17" s="14" t="n">
        <f aca="false">IF(COUNTIFS(Data_Long!$A$6:$A$243,D$5,Data_Long!$B$6:$B$243,$A17)=0,"",SUMIFS(Data_Long!$D$6:$D$243,Data_Long!$A$6:$A$243,D$5,Data_Long!$B$6:$B$243,$A17))</f>
        <v>1545</v>
      </c>
      <c r="E17" s="14" t="n">
        <f aca="false">IF(COUNTIFS(Data_Long!$A$6:$A$243,E$5,Data_Long!$B$6:$B$243,$A17)=0,"",SUMIFS(Data_Long!$D$6:$D$243,Data_Long!$A$6:$A$243,E$5,Data_Long!$B$6:$B$243,$A17))</f>
        <v>1289</v>
      </c>
      <c r="F17" s="14" t="n">
        <f aca="false">IF(COUNTIFS(Data_Long!$A$6:$A$243,F$5,Data_Long!$B$6:$B$243,$A17)=0,"",SUMIFS(Data_Long!$D$6:$D$243,Data_Long!$A$6:$A$243,F$5,Data_Long!$B$6:$B$243,$A17))</f>
        <v>1665</v>
      </c>
      <c r="G17" s="14" t="n">
        <f aca="false">IF(COUNTIFS(Data_Long!$A$6:$A$243,G$5,Data_Long!$B$6:$B$243,$A17)=0,"",SUMIFS(Data_Long!$D$6:$D$243,Data_Long!$A$6:$A$243,G$5,Data_Long!$B$6:$B$243,$A17))</f>
        <v>863</v>
      </c>
      <c r="H17" s="14" t="n">
        <f aca="false">IF(COUNTIFS(Data_Long!$A$6:$A$243,H$5,Data_Long!$B$6:$B$243,$A17)=0,"",SUMIFS(Data_Long!$D$6:$D$243,Data_Long!$A$6:$A$243,H$5,Data_Long!$B$6:$B$243,$A17))</f>
        <v>1264</v>
      </c>
      <c r="I17" s="14" t="n">
        <f aca="false">IF(COUNTIFS(Data_Long!$A$6:$A$243,I$5,Data_Long!$B$6:$B$243,$A17)=0,"",SUMIFS(Data_Long!$D$6:$D$243,Data_Long!$A$6:$A$243,I$5,Data_Long!$B$6:$B$243,$A17))</f>
        <v>1028</v>
      </c>
      <c r="J17" s="14" t="n">
        <f aca="false">IF(COUNTIFS(Data_Long!$A$6:$A$243,J$5,Data_Long!$B$6:$B$243,$A17)=0,"",SUMIFS(Data_Long!$D$6:$D$243,Data_Long!$A$6:$A$243,J$5,Data_Long!$B$6:$B$243,$A17))</f>
        <v>1116</v>
      </c>
      <c r="K17" s="2" t="s">
        <v>110</v>
      </c>
    </row>
    <row r="18" customFormat="false" ht="15" hidden="false" customHeight="false" outlineLevel="0" collapsed="false">
      <c r="A18" s="3" t="s">
        <v>111</v>
      </c>
      <c r="B18" s="6" t="s">
        <v>112</v>
      </c>
      <c r="C18" s="6" t="s">
        <v>83</v>
      </c>
      <c r="D18" s="14" t="n">
        <f aca="false">IF(COUNTIFS(Data_Long!$A$6:$A$243,D$5,Data_Long!$B$6:$B$243,$A18)=0,"",SUMIFS(Data_Long!$D$6:$D$243,Data_Long!$A$6:$A$243,D$5,Data_Long!$B$6:$B$243,$A18))</f>
        <v>1201</v>
      </c>
      <c r="E18" s="14" t="n">
        <f aca="false">IF(COUNTIFS(Data_Long!$A$6:$A$243,E$5,Data_Long!$B$6:$B$243,$A18)=0,"",SUMIFS(Data_Long!$D$6:$D$243,Data_Long!$A$6:$A$243,E$5,Data_Long!$B$6:$B$243,$A18))</f>
        <v>880</v>
      </c>
      <c r="F18" s="14" t="n">
        <f aca="false">IF(COUNTIFS(Data_Long!$A$6:$A$243,F$5,Data_Long!$B$6:$B$243,$A18)=0,"",SUMIFS(Data_Long!$D$6:$D$243,Data_Long!$A$6:$A$243,F$5,Data_Long!$B$6:$B$243,$A18))</f>
        <v>1123</v>
      </c>
      <c r="G18" s="14" t="n">
        <f aca="false">IF(COUNTIFS(Data_Long!$A$6:$A$243,G$5,Data_Long!$B$6:$B$243,$A18)=0,"",SUMIFS(Data_Long!$D$6:$D$243,Data_Long!$A$6:$A$243,G$5,Data_Long!$B$6:$B$243,$A18))</f>
        <v>460</v>
      </c>
      <c r="H18" s="14" t="n">
        <f aca="false">IF(COUNTIFS(Data_Long!$A$6:$A$243,H$5,Data_Long!$B$6:$B$243,$A18)=0,"",SUMIFS(Data_Long!$D$6:$D$243,Data_Long!$A$6:$A$243,H$5,Data_Long!$B$6:$B$243,$A18))</f>
        <v>575</v>
      </c>
      <c r="I18" s="14" t="n">
        <f aca="false">IF(COUNTIFS(Data_Long!$A$6:$A$243,I$5,Data_Long!$B$6:$B$243,$A18)=0,"",SUMIFS(Data_Long!$D$6:$D$243,Data_Long!$A$6:$A$243,I$5,Data_Long!$B$6:$B$243,$A18))</f>
        <v>388</v>
      </c>
      <c r="J18" s="14" t="n">
        <f aca="false">IF(COUNTIFS(Data_Long!$A$6:$A$243,J$5,Data_Long!$B$6:$B$243,$A18)=0,"",SUMIFS(Data_Long!$D$6:$D$243,Data_Long!$A$6:$A$243,J$5,Data_Long!$B$6:$B$243,$A18))</f>
        <v>487</v>
      </c>
      <c r="K18" s="2" t="s">
        <v>110</v>
      </c>
    </row>
    <row r="19" customFormat="false" ht="15" hidden="false" customHeight="false" outlineLevel="0" collapsed="false">
      <c r="A19" s="3" t="s">
        <v>113</v>
      </c>
      <c r="B19" s="6" t="s">
        <v>114</v>
      </c>
      <c r="C19" s="6" t="s">
        <v>106</v>
      </c>
      <c r="D19" s="15" t="n">
        <f aca="false">IF(COUNTIFS(Data_Long!$A$6:$A$243,D$5,Data_Long!$B$6:$B$243,$A19)=0,"",SUMIFS(Data_Long!$D$6:$D$243,Data_Long!$A$6:$A$243,D$5,Data_Long!$B$6:$B$243,$A19))</f>
        <v>77.7</v>
      </c>
      <c r="E19" s="15" t="str">
        <f aca="false">IF(COUNTIFS(Data_Long!$A$6:$A$243,E$5,Data_Long!$B$6:$B$243,$A19)=0,"",SUMIFS(Data_Long!$D$6:$D$243,Data_Long!$A$6:$A$243,E$5,Data_Long!$B$6:$B$243,$A19))</f>
        <v/>
      </c>
      <c r="F19" s="15" t="n">
        <f aca="false">IF(COUNTIFS(Data_Long!$A$6:$A$243,F$5,Data_Long!$B$6:$B$243,$A19)=0,"",SUMIFS(Data_Long!$D$6:$D$243,Data_Long!$A$6:$A$243,F$5,Data_Long!$B$6:$B$243,$A19))</f>
        <v>67.5</v>
      </c>
      <c r="G19" s="15" t="str">
        <f aca="false">IF(COUNTIFS(Data_Long!$A$6:$A$243,G$5,Data_Long!$B$6:$B$243,$A19)=0,"",SUMIFS(Data_Long!$D$6:$D$243,Data_Long!$A$6:$A$243,G$5,Data_Long!$B$6:$B$243,$A19))</f>
        <v/>
      </c>
      <c r="H19" s="15" t="n">
        <f aca="false">IF(COUNTIFS(Data_Long!$A$6:$A$243,H$5,Data_Long!$B$6:$B$243,$A19)=0,"",SUMIFS(Data_Long!$D$6:$D$243,Data_Long!$A$6:$A$243,H$5,Data_Long!$B$6:$B$243,$A19))</f>
        <v>45.5</v>
      </c>
      <c r="I19" s="15" t="str">
        <f aca="false">IF(COUNTIFS(Data_Long!$A$6:$A$243,I$5,Data_Long!$B$6:$B$243,$A19)=0,"",SUMIFS(Data_Long!$D$6:$D$243,Data_Long!$A$6:$A$243,I$5,Data_Long!$B$6:$B$243,$A19))</f>
        <v/>
      </c>
      <c r="J19" s="15" t="n">
        <f aca="false">IF(COUNTIFS(Data_Long!$A$6:$A$243,J$5,Data_Long!$B$6:$B$243,$A19)=0,"",SUMIFS(Data_Long!$D$6:$D$243,Data_Long!$A$6:$A$243,J$5,Data_Long!$B$6:$B$243,$A19))</f>
        <v>43.6</v>
      </c>
      <c r="K19" s="2" t="s">
        <v>115</v>
      </c>
    </row>
    <row r="20" customFormat="false" ht="15" hidden="false" customHeight="false" outlineLevel="0" collapsed="false">
      <c r="A20" s="3" t="s">
        <v>116</v>
      </c>
      <c r="B20" s="6" t="s">
        <v>117</v>
      </c>
      <c r="C20" s="6" t="s">
        <v>83</v>
      </c>
      <c r="D20" s="14" t="n">
        <f aca="false">IF(COUNTIFS(Data_Long!$A$6:$A$243,D$5,Data_Long!$B$6:$B$243,$A20)=0,"",SUMIFS(Data_Long!$D$6:$D$243,Data_Long!$A$6:$A$243,D$5,Data_Long!$B$6:$B$243,$A20))</f>
        <v>343</v>
      </c>
      <c r="E20" s="14" t="n">
        <f aca="false">IF(COUNTIFS(Data_Long!$A$6:$A$243,E$5,Data_Long!$B$6:$B$243,$A20)=0,"",SUMIFS(Data_Long!$D$6:$D$243,Data_Long!$A$6:$A$243,E$5,Data_Long!$B$6:$B$243,$A20))</f>
        <v>410</v>
      </c>
      <c r="F20" s="14" t="n">
        <f aca="false">IF(COUNTIFS(Data_Long!$A$6:$A$243,F$5,Data_Long!$B$6:$B$243,$A20)=0,"",SUMIFS(Data_Long!$D$6:$D$243,Data_Long!$A$6:$A$243,F$5,Data_Long!$B$6:$B$243,$A20))</f>
        <v>541</v>
      </c>
      <c r="G20" s="14" t="n">
        <f aca="false">IF(COUNTIFS(Data_Long!$A$6:$A$243,G$5,Data_Long!$B$6:$B$243,$A20)=0,"",SUMIFS(Data_Long!$D$6:$D$243,Data_Long!$A$6:$A$243,G$5,Data_Long!$B$6:$B$243,$A20))</f>
        <v>404</v>
      </c>
      <c r="H20" s="14" t="n">
        <f aca="false">IF(COUNTIFS(Data_Long!$A$6:$A$243,H$5,Data_Long!$B$6:$B$243,$A20)=0,"",SUMIFS(Data_Long!$D$6:$D$243,Data_Long!$A$6:$A$243,H$5,Data_Long!$B$6:$B$243,$A20))</f>
        <v>690</v>
      </c>
      <c r="I20" s="14" t="n">
        <f aca="false">IF(COUNTIFS(Data_Long!$A$6:$A$243,I$5,Data_Long!$B$6:$B$243,$A20)=0,"",SUMIFS(Data_Long!$D$6:$D$243,Data_Long!$A$6:$A$243,I$5,Data_Long!$B$6:$B$243,$A20))</f>
        <v>639</v>
      </c>
      <c r="J20" s="14" t="n">
        <f aca="false">IF(COUNTIFS(Data_Long!$A$6:$A$243,J$5,Data_Long!$B$6:$B$243,$A20)=0,"",SUMIFS(Data_Long!$D$6:$D$243,Data_Long!$A$6:$A$243,J$5,Data_Long!$B$6:$B$243,$A20))</f>
        <v>629</v>
      </c>
      <c r="K20" s="2" t="s">
        <v>118</v>
      </c>
    </row>
    <row r="21" customFormat="false" ht="15" hidden="false" customHeight="false" outlineLevel="0" collapsed="false">
      <c r="A21" s="3" t="s">
        <v>119</v>
      </c>
      <c r="B21" s="6" t="s">
        <v>120</v>
      </c>
      <c r="C21" s="6" t="s">
        <v>83</v>
      </c>
      <c r="D21" s="14" t="n">
        <f aca="false">IF(COUNTIFS(Data_Long!$A$6:$A$243,D$5,Data_Long!$B$6:$B$243,$A21)=0,"",SUMIFS(Data_Long!$D$6:$D$243,Data_Long!$A$6:$A$243,D$5,Data_Long!$B$6:$B$243,$A21))</f>
        <v>427</v>
      </c>
      <c r="E21" s="14" t="n">
        <f aca="false">IF(COUNTIFS(Data_Long!$A$6:$A$243,E$5,Data_Long!$B$6:$B$243,$A21)=0,"",SUMIFS(Data_Long!$D$6:$D$243,Data_Long!$A$6:$A$243,E$5,Data_Long!$B$6:$B$243,$A21))</f>
        <v>533</v>
      </c>
      <c r="F21" s="14" t="n">
        <f aca="false">IF(COUNTIFS(Data_Long!$A$6:$A$243,F$5,Data_Long!$B$6:$B$243,$A21)=0,"",SUMIFS(Data_Long!$D$6:$D$243,Data_Long!$A$6:$A$243,F$5,Data_Long!$B$6:$B$243,$A21))</f>
        <v>516</v>
      </c>
      <c r="G21" s="14" t="n">
        <f aca="false">IF(COUNTIFS(Data_Long!$A$6:$A$243,G$5,Data_Long!$B$6:$B$243,$A21)=0,"",SUMIFS(Data_Long!$D$6:$D$243,Data_Long!$A$6:$A$243,G$5,Data_Long!$B$6:$B$243,$A21))</f>
        <v>585</v>
      </c>
      <c r="H21" s="14" t="n">
        <f aca="false">IF(COUNTIFS(Data_Long!$A$6:$A$243,H$5,Data_Long!$B$6:$B$243,$A21)=0,"",SUMIFS(Data_Long!$D$6:$D$243,Data_Long!$A$6:$A$243,H$5,Data_Long!$B$6:$B$243,$A21))</f>
        <v>600</v>
      </c>
      <c r="I21" s="14" t="n">
        <f aca="false">IF(COUNTIFS(Data_Long!$A$6:$A$243,I$5,Data_Long!$B$6:$B$243,$A21)=0,"",SUMIFS(Data_Long!$D$6:$D$243,Data_Long!$A$6:$A$243,I$5,Data_Long!$B$6:$B$243,$A21))</f>
        <v>1230</v>
      </c>
      <c r="J21" s="14" t="n">
        <f aca="false">IF(COUNTIFS(Data_Long!$A$6:$A$243,J$5,Data_Long!$B$6:$B$243,$A21)=0,"",SUMIFS(Data_Long!$D$6:$D$243,Data_Long!$A$6:$A$243,J$5,Data_Long!$B$6:$B$243,$A21))</f>
        <v>705</v>
      </c>
      <c r="K21" s="2" t="s">
        <v>110</v>
      </c>
    </row>
    <row r="22" customFormat="false" ht="15" hidden="false" customHeight="false" outlineLevel="0" collapsed="false">
      <c r="A22" s="3" t="s">
        <v>121</v>
      </c>
      <c r="B22" s="6" t="s">
        <v>122</v>
      </c>
      <c r="C22" s="6" t="s">
        <v>83</v>
      </c>
      <c r="D22" s="14" t="n">
        <f aca="false">IF(COUNTIFS(Data_Long!$A$6:$A$243,D$5,Data_Long!$B$6:$B$243,$A22)=0,"",SUMIFS(Data_Long!$D$6:$D$243,Data_Long!$A$6:$A$243,D$5,Data_Long!$B$6:$B$243,$A22))</f>
        <v>866</v>
      </c>
      <c r="E22" s="14" t="n">
        <f aca="false">IF(COUNTIFS(Data_Long!$A$6:$A$243,E$5,Data_Long!$B$6:$B$243,$A22)=0,"",SUMIFS(Data_Long!$D$6:$D$243,Data_Long!$A$6:$A$243,E$5,Data_Long!$B$6:$B$243,$A22))</f>
        <v>1098</v>
      </c>
      <c r="F22" s="14" t="n">
        <f aca="false">IF(COUNTIFS(Data_Long!$A$6:$A$243,F$5,Data_Long!$B$6:$B$243,$A22)=0,"",SUMIFS(Data_Long!$D$6:$D$243,Data_Long!$A$6:$A$243,F$5,Data_Long!$B$6:$B$243,$A22))</f>
        <v>850</v>
      </c>
      <c r="G22" s="14" t="n">
        <f aca="false">IF(COUNTIFS(Data_Long!$A$6:$A$243,G$5,Data_Long!$B$6:$B$243,$A22)=0,"",SUMIFS(Data_Long!$D$6:$D$243,Data_Long!$A$6:$A$243,G$5,Data_Long!$B$6:$B$243,$A22))</f>
        <v>1269</v>
      </c>
      <c r="H22" s="14" t="n">
        <f aca="false">IF(COUNTIFS(Data_Long!$A$6:$A$243,H$5,Data_Long!$B$6:$B$243,$A22)=0,"",SUMIFS(Data_Long!$D$6:$D$243,Data_Long!$A$6:$A$243,H$5,Data_Long!$B$6:$B$243,$A22))</f>
        <v>965</v>
      </c>
      <c r="I22" s="14" t="n">
        <f aca="false">IF(COUNTIFS(Data_Long!$A$6:$A$243,I$5,Data_Long!$B$6:$B$243,$A22)=0,"",SUMIFS(Data_Long!$D$6:$D$243,Data_Long!$A$6:$A$243,I$5,Data_Long!$B$6:$B$243,$A22))</f>
        <v>1172</v>
      </c>
      <c r="J22" s="14" t="n">
        <f aca="false">IF(COUNTIFS(Data_Long!$A$6:$A$243,J$5,Data_Long!$B$6:$B$243,$A22)=0,"",SUMIFS(Data_Long!$D$6:$D$243,Data_Long!$A$6:$A$243,J$5,Data_Long!$B$6:$B$243,$A22))</f>
        <v>906</v>
      </c>
      <c r="K22" s="2" t="s">
        <v>110</v>
      </c>
    </row>
    <row r="23" customFormat="false" ht="15" hidden="false" customHeight="false" outlineLevel="0" collapsed="false">
      <c r="A23" s="3" t="s">
        <v>123</v>
      </c>
      <c r="B23" s="6" t="s">
        <v>124</v>
      </c>
      <c r="C23" s="6" t="s">
        <v>83</v>
      </c>
      <c r="D23" s="14" t="n">
        <f aca="false">IF(COUNTIFS(Data_Long!$A$6:$A$243,D$5,Data_Long!$B$6:$B$243,$A23)=0,"",SUMIFS(Data_Long!$D$6:$D$243,Data_Long!$A$6:$A$243,D$5,Data_Long!$B$6:$B$243,$A23))</f>
        <v>749</v>
      </c>
      <c r="E23" s="14" t="n">
        <f aca="false">IF(COUNTIFS(Data_Long!$A$6:$A$243,E$5,Data_Long!$B$6:$B$243,$A23)=0,"",SUMIFS(Data_Long!$D$6:$D$243,Data_Long!$A$6:$A$243,E$5,Data_Long!$B$6:$B$243,$A23))</f>
        <v>947</v>
      </c>
      <c r="F23" s="14" t="n">
        <f aca="false">IF(COUNTIFS(Data_Long!$A$6:$A$243,F$5,Data_Long!$B$6:$B$243,$A23)=0,"",SUMIFS(Data_Long!$D$6:$D$243,Data_Long!$A$6:$A$243,F$5,Data_Long!$B$6:$B$243,$A23))</f>
        <v>849</v>
      </c>
      <c r="G23" s="14" t="n">
        <f aca="false">IF(COUNTIFS(Data_Long!$A$6:$A$243,G$5,Data_Long!$B$6:$B$243,$A23)=0,"",SUMIFS(Data_Long!$D$6:$D$243,Data_Long!$A$6:$A$243,G$5,Data_Long!$B$6:$B$243,$A23))</f>
        <v>1035</v>
      </c>
      <c r="H23" s="14" t="n">
        <f aca="false">IF(COUNTIFS(Data_Long!$A$6:$A$243,H$5,Data_Long!$B$6:$B$243,$A23)=0,"",SUMIFS(Data_Long!$D$6:$D$243,Data_Long!$A$6:$A$243,H$5,Data_Long!$B$6:$B$243,$A23))</f>
        <v>1156</v>
      </c>
      <c r="I23" s="14" t="n">
        <f aca="false">IF(COUNTIFS(Data_Long!$A$6:$A$243,I$5,Data_Long!$B$6:$B$243,$A23)=0,"",SUMIFS(Data_Long!$D$6:$D$243,Data_Long!$A$6:$A$243,I$5,Data_Long!$B$6:$B$243,$A23))</f>
        <v>1206</v>
      </c>
      <c r="J23" s="14" t="n">
        <f aca="false">IF(COUNTIFS(Data_Long!$A$6:$A$243,J$5,Data_Long!$B$6:$B$243,$A23)=0,"",SUMIFS(Data_Long!$D$6:$D$243,Data_Long!$A$6:$A$243,J$5,Data_Long!$B$6:$B$243,$A23))</f>
        <v>854</v>
      </c>
      <c r="K23" s="2" t="s">
        <v>125</v>
      </c>
    </row>
    <row r="24" customFormat="false" ht="15" hidden="false" customHeight="false" outlineLevel="0" collapsed="false">
      <c r="A24" s="3" t="s">
        <v>126</v>
      </c>
      <c r="B24" s="6" t="s">
        <v>127</v>
      </c>
      <c r="C24" s="6" t="s">
        <v>83</v>
      </c>
      <c r="D24" s="14" t="n">
        <f aca="false">IF(COUNTIFS(Data_Long!$A$6:$A$243,D$5,Data_Long!$B$6:$B$243,$A24)=0,"",SUMIFS(Data_Long!$D$6:$D$243,Data_Long!$A$6:$A$243,D$5,Data_Long!$B$6:$B$243,$A24))</f>
        <v>1176</v>
      </c>
      <c r="E24" s="14" t="n">
        <f aca="false">IF(COUNTIFS(Data_Long!$A$6:$A$243,E$5,Data_Long!$B$6:$B$243,$A24)=0,"",SUMIFS(Data_Long!$D$6:$D$243,Data_Long!$A$6:$A$243,E$5,Data_Long!$B$6:$B$243,$A24))</f>
        <v>1480</v>
      </c>
      <c r="F24" s="14" t="n">
        <f aca="false">IF(COUNTIFS(Data_Long!$A$6:$A$243,F$5,Data_Long!$B$6:$B$243,$A24)=0,"",SUMIFS(Data_Long!$D$6:$D$243,Data_Long!$A$6:$A$243,F$5,Data_Long!$B$6:$B$243,$A24))</f>
        <v>1364</v>
      </c>
      <c r="G24" s="14" t="n">
        <f aca="false">IF(COUNTIFS(Data_Long!$A$6:$A$243,G$5,Data_Long!$B$6:$B$243,$A24)=0,"",SUMIFS(Data_Long!$D$6:$D$243,Data_Long!$A$6:$A$243,G$5,Data_Long!$B$6:$B$243,$A24))</f>
        <v>1621</v>
      </c>
      <c r="H24" s="14" t="n">
        <f aca="false">IF(COUNTIFS(Data_Long!$A$6:$A$243,H$5,Data_Long!$B$6:$B$243,$A24)=0,"",SUMIFS(Data_Long!$D$6:$D$243,Data_Long!$A$6:$A$243,H$5,Data_Long!$B$6:$B$243,$A24))</f>
        <v>1756</v>
      </c>
      <c r="I24" s="14" t="n">
        <f aca="false">IF(COUNTIFS(Data_Long!$A$6:$A$243,I$5,Data_Long!$B$6:$B$243,$A24)=0,"",SUMIFS(Data_Long!$D$6:$D$243,Data_Long!$A$6:$A$243,I$5,Data_Long!$B$6:$B$243,$A24))</f>
        <v>2436</v>
      </c>
      <c r="J24" s="14" t="n">
        <f aca="false">IF(COUNTIFS(Data_Long!$A$6:$A$243,J$5,Data_Long!$B$6:$B$243,$A24)=0,"",SUMIFS(Data_Long!$D$6:$D$243,Data_Long!$A$6:$A$243,J$5,Data_Long!$B$6:$B$243,$A24))</f>
        <v>1559</v>
      </c>
      <c r="K24" s="2" t="s">
        <v>110</v>
      </c>
    </row>
    <row r="25" customFormat="false" ht="15" hidden="false" customHeight="false" outlineLevel="0" collapsed="false">
      <c r="A25" s="3" t="s">
        <v>128</v>
      </c>
      <c r="B25" s="6" t="s">
        <v>129</v>
      </c>
      <c r="C25" s="6" t="s">
        <v>83</v>
      </c>
      <c r="D25" s="14" t="n">
        <f aca="false">IF(COUNTIFS(Data_Long!$A$6:$A$243,D$5,Data_Long!$B$6:$B$243,$A25)=0,"",SUMIFS(Data_Long!$D$6:$D$243,Data_Long!$A$6:$A$243,D$5,Data_Long!$B$6:$B$243,$A25))</f>
        <v>4391.684901</v>
      </c>
      <c r="E25" s="14" t="n">
        <f aca="false">IF(COUNTIFS(Data_Long!$A$6:$A$243,E$5,Data_Long!$B$6:$B$243,$A25)=0,"",SUMIFS(Data_Long!$D$6:$D$243,Data_Long!$A$6:$A$243,E$5,Data_Long!$B$6:$B$243,$A25))</f>
        <v>3864.039849</v>
      </c>
      <c r="F25" s="14" t="n">
        <f aca="false">IF(COUNTIFS(Data_Long!$A$6:$A$243,F$5,Data_Long!$B$6:$B$243,$A25)=0,"",SUMIFS(Data_Long!$D$6:$D$243,Data_Long!$A$6:$A$243,F$5,Data_Long!$B$6:$B$243,$A25))</f>
        <v>3387.040637</v>
      </c>
      <c r="G25" s="14" t="n">
        <f aca="false">IF(COUNTIFS(Data_Long!$A$6:$A$243,G$5,Data_Long!$B$6:$B$243,$A25)=0,"",SUMIFS(Data_Long!$D$6:$D$243,Data_Long!$A$6:$A$243,G$5,Data_Long!$B$6:$B$243,$A25))</f>
        <v>4363.286339</v>
      </c>
      <c r="H25" s="14" t="n">
        <f aca="false">IF(COUNTIFS(Data_Long!$A$6:$A$243,H$5,Data_Long!$B$6:$B$243,$A25)=0,"",SUMIFS(Data_Long!$D$6:$D$243,Data_Long!$A$6:$A$243,H$5,Data_Long!$B$6:$B$243,$A25))</f>
        <v>2017.886965</v>
      </c>
      <c r="I25" s="14" t="n">
        <f aca="false">IF(COUNTIFS(Data_Long!$A$6:$A$243,I$5,Data_Long!$B$6:$B$243,$A25)=0,"",SUMIFS(Data_Long!$D$6:$D$243,Data_Long!$A$6:$A$243,I$5,Data_Long!$B$6:$B$243,$A25))</f>
        <v>2805.38661</v>
      </c>
      <c r="J25" s="14" t="n">
        <f aca="false">IF(COUNTIFS(Data_Long!$A$6:$A$243,J$5,Data_Long!$B$6:$B$243,$A25)=0,"",SUMIFS(Data_Long!$D$6:$D$243,Data_Long!$A$6:$A$243,J$5,Data_Long!$B$6:$B$243,$A25))</f>
        <v>2431.811796</v>
      </c>
      <c r="K25" s="2" t="s">
        <v>84</v>
      </c>
    </row>
    <row r="26" customFormat="false" ht="15" hidden="false" customHeight="false" outlineLevel="0" collapsed="false">
      <c r="A26" s="3" t="s">
        <v>130</v>
      </c>
      <c r="B26" s="6" t="s">
        <v>131</v>
      </c>
      <c r="C26" s="6" t="s">
        <v>83</v>
      </c>
      <c r="D26" s="14" t="n">
        <f aca="false">IF(COUNTIFS(Data_Long!$A$6:$A$243,D$5,Data_Long!$B$6:$B$243,$A26)=0,"",SUMIFS(Data_Long!$D$6:$D$243,Data_Long!$A$6:$A$243,D$5,Data_Long!$B$6:$B$243,$A26))</f>
        <v>-2174.704044</v>
      </c>
      <c r="E26" s="14" t="n">
        <f aca="false">IF(COUNTIFS(Data_Long!$A$6:$A$243,E$5,Data_Long!$B$6:$B$243,$A26)=0,"",SUMIFS(Data_Long!$D$6:$D$243,Data_Long!$A$6:$A$243,E$5,Data_Long!$B$6:$B$243,$A26))</f>
        <v>-2107.591357</v>
      </c>
      <c r="F26" s="14" t="n">
        <f aca="false">IF(COUNTIFS(Data_Long!$A$6:$A$243,F$5,Data_Long!$B$6:$B$243,$A26)=0,"",SUMIFS(Data_Long!$D$6:$D$243,Data_Long!$A$6:$A$243,F$5,Data_Long!$B$6:$B$243,$A26))</f>
        <v>-2270.15096</v>
      </c>
      <c r="G26" s="14" t="n">
        <f aca="false">IF(COUNTIFS(Data_Long!$A$6:$A$243,G$5,Data_Long!$B$6:$B$243,$A26)=0,"",SUMIFS(Data_Long!$D$6:$D$243,Data_Long!$A$6:$A$243,G$5,Data_Long!$B$6:$B$243,$A26))</f>
        <v>-1745.550183</v>
      </c>
      <c r="H26" s="14" t="n">
        <f aca="false">IF(COUNTIFS(Data_Long!$A$6:$A$243,H$5,Data_Long!$B$6:$B$243,$A26)=0,"",SUMIFS(Data_Long!$D$6:$D$243,Data_Long!$A$6:$A$243,H$5,Data_Long!$B$6:$B$243,$A26))</f>
        <v>-1623.892695</v>
      </c>
      <c r="I26" s="14" t="n">
        <f aca="false">IF(COUNTIFS(Data_Long!$A$6:$A$243,I$5,Data_Long!$B$6:$B$243,$A26)=0,"",SUMIFS(Data_Long!$D$6:$D$243,Data_Long!$A$6:$A$243,I$5,Data_Long!$B$6:$B$243,$A26))</f>
        <v>-1688.265017</v>
      </c>
      <c r="J26" s="14" t="n">
        <f aca="false">IF(COUNTIFS(Data_Long!$A$6:$A$243,J$5,Data_Long!$B$6:$B$243,$A26)=0,"",SUMIFS(Data_Long!$D$6:$D$243,Data_Long!$A$6:$A$243,J$5,Data_Long!$B$6:$B$243,$A26))</f>
        <v>-1411.566982</v>
      </c>
      <c r="K26" s="2" t="s">
        <v>84</v>
      </c>
    </row>
    <row r="27" customFormat="false" ht="15" hidden="false" customHeight="false" outlineLevel="0" collapsed="false">
      <c r="A27" s="3" t="s">
        <v>132</v>
      </c>
      <c r="B27" s="6" t="s">
        <v>133</v>
      </c>
      <c r="C27" s="6" t="s">
        <v>83</v>
      </c>
      <c r="D27" s="14" t="n">
        <f aca="false">IF(COUNTIFS(Data_Long!$A$6:$A$243,D$5,Data_Long!$B$6:$B$243,$A27)=0,"",SUMIFS(Data_Long!$D$6:$D$243,Data_Long!$A$6:$A$243,D$5,Data_Long!$B$6:$B$243,$A27))</f>
        <v>2216.980857</v>
      </c>
      <c r="E27" s="14" t="n">
        <f aca="false">IF(COUNTIFS(Data_Long!$A$6:$A$243,E$5,Data_Long!$B$6:$B$243,$A27)=0,"",SUMIFS(Data_Long!$D$6:$D$243,Data_Long!$A$6:$A$243,E$5,Data_Long!$B$6:$B$243,$A27))</f>
        <v>1756.448492</v>
      </c>
      <c r="F27" s="14" t="n">
        <f aca="false">IF(COUNTIFS(Data_Long!$A$6:$A$243,F$5,Data_Long!$B$6:$B$243,$A27)=0,"",SUMIFS(Data_Long!$D$6:$D$243,Data_Long!$A$6:$A$243,F$5,Data_Long!$B$6:$B$243,$A27))</f>
        <v>1117</v>
      </c>
      <c r="G27" s="14" t="n">
        <f aca="false">IF(COUNTIFS(Data_Long!$A$6:$A$243,G$5,Data_Long!$B$6:$B$243,$A27)=0,"",SUMIFS(Data_Long!$D$6:$D$243,Data_Long!$A$6:$A$243,G$5,Data_Long!$B$6:$B$243,$A27))</f>
        <v>2617.625833</v>
      </c>
      <c r="H27" s="14" t="n">
        <f aca="false">IF(COUNTIFS(Data_Long!$A$6:$A$243,H$5,Data_Long!$B$6:$B$243,$A27)=0,"",SUMIFS(Data_Long!$D$6:$D$243,Data_Long!$A$6:$A$243,H$5,Data_Long!$B$6:$B$243,$A27))</f>
        <v>393.99427</v>
      </c>
      <c r="I27" s="14" t="n">
        <f aca="false">IF(COUNTIFS(Data_Long!$A$6:$A$243,I$5,Data_Long!$B$6:$B$243,$A27)=0,"",SUMIFS(Data_Long!$D$6:$D$243,Data_Long!$A$6:$A$243,I$5,Data_Long!$B$6:$B$243,$A27))</f>
        <v>1117.121593</v>
      </c>
      <c r="J27" s="14" t="n">
        <f aca="false">IF(COUNTIFS(Data_Long!$A$6:$A$243,J$5,Data_Long!$B$6:$B$243,$A27)=0,"",SUMIFS(Data_Long!$D$6:$D$243,Data_Long!$A$6:$A$243,J$5,Data_Long!$B$6:$B$243,$A27))</f>
        <v>1020.244813</v>
      </c>
      <c r="K27" s="2" t="s">
        <v>84</v>
      </c>
    </row>
    <row r="28" customFormat="false" ht="15" hidden="false" customHeight="false" outlineLevel="0" collapsed="false">
      <c r="A28" s="3" t="s">
        <v>134</v>
      </c>
      <c r="B28" s="6" t="s">
        <v>135</v>
      </c>
      <c r="C28" s="6" t="s">
        <v>83</v>
      </c>
      <c r="D28" s="14" t="n">
        <f aca="false">IF(COUNTIFS(Data_Long!$A$6:$A$243,D$5,Data_Long!$B$6:$B$243,$A28)=0,"",SUMIFS(Data_Long!$D$6:$D$243,Data_Long!$A$6:$A$243,D$5,Data_Long!$B$6:$B$243,$A28))</f>
        <v>6432.023429</v>
      </c>
      <c r="E28" s="14" t="n">
        <f aca="false">IF(COUNTIFS(Data_Long!$A$6:$A$243,E$5,Data_Long!$B$6:$B$243,$A28)=0,"",SUMIFS(Data_Long!$D$6:$D$243,Data_Long!$A$6:$A$243,E$5,Data_Long!$B$6:$B$243,$A28))</f>
        <v>7215.001118</v>
      </c>
      <c r="F28" s="14" t="n">
        <f aca="false">IF(COUNTIFS(Data_Long!$A$6:$A$243,F$5,Data_Long!$B$6:$B$243,$A28)=0,"",SUMIFS(Data_Long!$D$6:$D$243,Data_Long!$A$6:$A$243,F$5,Data_Long!$B$6:$B$243,$A28))</f>
        <v>6100.788136</v>
      </c>
      <c r="G28" s="14" t="n">
        <f aca="false">IF(COUNTIFS(Data_Long!$A$6:$A$243,G$5,Data_Long!$B$6:$B$243,$A28)=0,"",SUMIFS(Data_Long!$D$6:$D$243,Data_Long!$A$6:$A$243,G$5,Data_Long!$B$6:$B$243,$A28))</f>
        <v>8557.799768</v>
      </c>
      <c r="H28" s="14" t="n">
        <f aca="false">IF(COUNTIFS(Data_Long!$A$6:$A$243,H$5,Data_Long!$B$6:$B$243,$A28)=0,"",SUMIFS(Data_Long!$D$6:$D$243,Data_Long!$A$6:$A$243,H$5,Data_Long!$B$6:$B$243,$A28))</f>
        <v>6167.235104</v>
      </c>
      <c r="I28" s="14" t="n">
        <f aca="false">IF(COUNTIFS(Data_Long!$A$6:$A$243,I$5,Data_Long!$B$6:$B$243,$A28)=0,"",SUMIFS(Data_Long!$D$6:$D$243,Data_Long!$A$6:$A$243,I$5,Data_Long!$B$6:$B$243,$A28))</f>
        <v>7346.110286</v>
      </c>
      <c r="J28" s="14" t="n">
        <f aca="false">IF(COUNTIFS(Data_Long!$A$6:$A$243,J$5,Data_Long!$B$6:$B$243,$A28)=0,"",SUMIFS(Data_Long!$D$6:$D$243,Data_Long!$A$6:$A$243,J$5,Data_Long!$B$6:$B$243,$A28))</f>
        <v>7301.571233</v>
      </c>
      <c r="K28" s="2" t="s">
        <v>84</v>
      </c>
    </row>
    <row r="29" customFormat="false" ht="15" hidden="false" customHeight="false" outlineLevel="0" collapsed="false">
      <c r="A29" s="3" t="s">
        <v>136</v>
      </c>
      <c r="B29" s="6" t="s">
        <v>137</v>
      </c>
      <c r="C29" s="6" t="s">
        <v>83</v>
      </c>
      <c r="D29" s="14" t="n">
        <f aca="false">IF(COUNTIFS(Data_Long!$A$6:$A$243,D$5,Data_Long!$B$6:$B$243,$A29)=0,"",SUMIFS(Data_Long!$D$6:$D$243,Data_Long!$A$6:$A$243,D$5,Data_Long!$B$6:$B$243,$A29))</f>
        <v>1652</v>
      </c>
      <c r="E29" s="14" t="n">
        <f aca="false">IF(COUNTIFS(Data_Long!$A$6:$A$243,E$5,Data_Long!$B$6:$B$243,$A29)=0,"",SUMIFS(Data_Long!$D$6:$D$243,Data_Long!$A$6:$A$243,E$5,Data_Long!$B$6:$B$243,$A29))</f>
        <v>1792</v>
      </c>
      <c r="F29" s="14" t="n">
        <f aca="false">IF(COUNTIFS(Data_Long!$A$6:$A$243,F$5,Data_Long!$B$6:$B$243,$A29)=0,"",SUMIFS(Data_Long!$D$6:$D$243,Data_Long!$A$6:$A$243,F$5,Data_Long!$B$6:$B$243,$A29))</f>
        <v>1894</v>
      </c>
      <c r="G29" s="14" t="n">
        <f aca="false">IF(COUNTIFS(Data_Long!$A$6:$A$243,G$5,Data_Long!$B$6:$B$243,$A29)=0,"",SUMIFS(Data_Long!$D$6:$D$243,Data_Long!$A$6:$A$243,G$5,Data_Long!$B$6:$B$243,$A29))</f>
        <v>2016</v>
      </c>
      <c r="H29" s="14" t="n">
        <f aca="false">IF(COUNTIFS(Data_Long!$A$6:$A$243,H$5,Data_Long!$B$6:$B$243,$A29)=0,"",SUMIFS(Data_Long!$D$6:$D$243,Data_Long!$A$6:$A$243,H$5,Data_Long!$B$6:$B$243,$A29))</f>
        <v>2152</v>
      </c>
      <c r="I29" s="14" t="n">
        <f aca="false">IF(COUNTIFS(Data_Long!$A$6:$A$243,I$5,Data_Long!$B$6:$B$243,$A29)=0,"",SUMIFS(Data_Long!$D$6:$D$243,Data_Long!$A$6:$A$243,I$5,Data_Long!$B$6:$B$243,$A29))</f>
        <v>2232</v>
      </c>
      <c r="J29" s="14" t="n">
        <f aca="false">IF(COUNTIFS(Data_Long!$A$6:$A$243,J$5,Data_Long!$B$6:$B$243,$A29)=0,"",SUMIFS(Data_Long!$D$6:$D$243,Data_Long!$A$6:$A$243,J$5,Data_Long!$B$6:$B$243,$A29))</f>
        <v>2206</v>
      </c>
      <c r="K29" s="2" t="s">
        <v>99</v>
      </c>
    </row>
    <row r="30" customFormat="false" ht="15" hidden="false" customHeight="false" outlineLevel="0" collapsed="false">
      <c r="A30" s="3" t="s">
        <v>138</v>
      </c>
      <c r="B30" s="6" t="s">
        <v>139</v>
      </c>
      <c r="C30" s="6" t="s">
        <v>83</v>
      </c>
      <c r="D30" s="14" t="n">
        <f aca="false">IF(COUNTIFS(Data_Long!$A$6:$A$243,D$5,Data_Long!$B$6:$B$243,$A30)=0,"",SUMIFS(Data_Long!$D$6:$D$243,Data_Long!$A$6:$A$243,D$5,Data_Long!$B$6:$B$243,$A30))</f>
        <v>174</v>
      </c>
      <c r="E30" s="14" t="n">
        <f aca="false">IF(COUNTIFS(Data_Long!$A$6:$A$243,E$5,Data_Long!$B$6:$B$243,$A30)=0,"",SUMIFS(Data_Long!$D$6:$D$243,Data_Long!$A$6:$A$243,E$5,Data_Long!$B$6:$B$243,$A30))</f>
        <v>128</v>
      </c>
      <c r="F30" s="14" t="n">
        <f aca="false">IF(COUNTIFS(Data_Long!$A$6:$A$243,F$5,Data_Long!$B$6:$B$243,$A30)=0,"",SUMIFS(Data_Long!$D$6:$D$243,Data_Long!$A$6:$A$243,F$5,Data_Long!$B$6:$B$243,$A30))</f>
        <v>129</v>
      </c>
      <c r="G30" s="14" t="n">
        <f aca="false">IF(COUNTIFS(Data_Long!$A$6:$A$243,G$5,Data_Long!$B$6:$B$243,$A30)=0,"",SUMIFS(Data_Long!$D$6:$D$243,Data_Long!$A$6:$A$243,G$5,Data_Long!$B$6:$B$243,$A30))</f>
        <v>149</v>
      </c>
      <c r="H30" s="14" t="n">
        <f aca="false">IF(COUNTIFS(Data_Long!$A$6:$A$243,H$5,Data_Long!$B$6:$B$243,$A30)=0,"",SUMIFS(Data_Long!$D$6:$D$243,Data_Long!$A$6:$A$243,H$5,Data_Long!$B$6:$B$243,$A30))</f>
        <v>145</v>
      </c>
      <c r="I30" s="14" t="n">
        <f aca="false">IF(COUNTIFS(Data_Long!$A$6:$A$243,I$5,Data_Long!$B$6:$B$243,$A30)=0,"",SUMIFS(Data_Long!$D$6:$D$243,Data_Long!$A$6:$A$243,I$5,Data_Long!$B$6:$B$243,$A30))</f>
        <v>114</v>
      </c>
      <c r="J30" s="14" t="n">
        <f aca="false">IF(COUNTIFS(Data_Long!$A$6:$A$243,J$5,Data_Long!$B$6:$B$243,$A30)=0,"",SUMIFS(Data_Long!$D$6:$D$243,Data_Long!$A$6:$A$243,J$5,Data_Long!$B$6:$B$243,$A30))</f>
        <v>151</v>
      </c>
      <c r="K30" s="2" t="s">
        <v>99</v>
      </c>
    </row>
    <row r="31" customFormat="false" ht="15" hidden="false" customHeight="false" outlineLevel="0" collapsed="false">
      <c r="A31" s="3" t="s">
        <v>140</v>
      </c>
      <c r="B31" s="6" t="s">
        <v>141</v>
      </c>
      <c r="C31" s="6" t="s">
        <v>83</v>
      </c>
      <c r="D31" s="14" t="str">
        <f aca="false">IF(COUNTIFS(Data_Long!$A$6:$A$243,D$5,Data_Long!$B$6:$B$243,$A31)=0,"",SUMIFS(Data_Long!$D$6:$D$243,Data_Long!$A$6:$A$243,D$5,Data_Long!$B$6:$B$243,$A31))</f>
        <v/>
      </c>
      <c r="E31" s="14" t="str">
        <f aca="false">IF(COUNTIFS(Data_Long!$A$6:$A$243,E$5,Data_Long!$B$6:$B$243,$A31)=0,"",SUMIFS(Data_Long!$D$6:$D$243,Data_Long!$A$6:$A$243,E$5,Data_Long!$B$6:$B$243,$A31))</f>
        <v/>
      </c>
      <c r="F31" s="14" t="str">
        <f aca="false">IF(COUNTIFS(Data_Long!$A$6:$A$243,F$5,Data_Long!$B$6:$B$243,$A31)=0,"",SUMIFS(Data_Long!$D$6:$D$243,Data_Long!$A$6:$A$243,F$5,Data_Long!$B$6:$B$243,$A31))</f>
        <v/>
      </c>
      <c r="G31" s="14" t="str">
        <f aca="false">IF(COUNTIFS(Data_Long!$A$6:$A$243,G$5,Data_Long!$B$6:$B$243,$A31)=0,"",SUMIFS(Data_Long!$D$6:$D$243,Data_Long!$A$6:$A$243,G$5,Data_Long!$B$6:$B$243,$A31))</f>
        <v/>
      </c>
      <c r="H31" s="14" t="n">
        <f aca="false">IF(COUNTIFS(Data_Long!$A$6:$A$243,H$5,Data_Long!$B$6:$B$243,$A31)=0,"",SUMIFS(Data_Long!$D$6:$D$243,Data_Long!$A$6:$A$243,H$5,Data_Long!$B$6:$B$243,$A31))</f>
        <v>700</v>
      </c>
      <c r="I31" s="14" t="n">
        <f aca="false">IF(COUNTIFS(Data_Long!$A$6:$A$243,I$5,Data_Long!$B$6:$B$243,$A31)=0,"",SUMIFS(Data_Long!$D$6:$D$243,Data_Long!$A$6:$A$243,I$5,Data_Long!$B$6:$B$243,$A31))</f>
        <v>2400</v>
      </c>
      <c r="J31" s="14" t="n">
        <f aca="false">IF(COUNTIFS(Data_Long!$A$6:$A$243,J$5,Data_Long!$B$6:$B$243,$A31)=0,"",SUMIFS(Data_Long!$D$6:$D$243,Data_Long!$A$6:$A$243,J$5,Data_Long!$B$6:$B$243,$A31))</f>
        <v>100</v>
      </c>
      <c r="K31" s="2" t="s">
        <v>125</v>
      </c>
    </row>
    <row r="32" customFormat="false" ht="15" hidden="false" customHeight="false" outlineLevel="0" collapsed="false">
      <c r="A32" s="3" t="s">
        <v>142</v>
      </c>
      <c r="B32" s="6" t="s">
        <v>143</v>
      </c>
      <c r="C32" s="6" t="s">
        <v>83</v>
      </c>
      <c r="D32" s="14" t="str">
        <f aca="false">IF(COUNTIFS(Data_Long!$A$6:$A$243,D$5,Data_Long!$B$6:$B$243,$A32)=0,"",SUMIFS(Data_Long!$D$6:$D$243,Data_Long!$A$6:$A$243,D$5,Data_Long!$B$6:$B$243,$A32))</f>
        <v/>
      </c>
      <c r="E32" s="14" t="str">
        <f aca="false">IF(COUNTIFS(Data_Long!$A$6:$A$243,E$5,Data_Long!$B$6:$B$243,$A32)=0,"",SUMIFS(Data_Long!$D$6:$D$243,Data_Long!$A$6:$A$243,E$5,Data_Long!$B$6:$B$243,$A32))</f>
        <v/>
      </c>
      <c r="F32" s="14" t="str">
        <f aca="false">IF(COUNTIFS(Data_Long!$A$6:$A$243,F$5,Data_Long!$B$6:$B$243,$A32)=0,"",SUMIFS(Data_Long!$D$6:$D$243,Data_Long!$A$6:$A$243,F$5,Data_Long!$B$6:$B$243,$A32))</f>
        <v/>
      </c>
      <c r="G32" s="14" t="str">
        <f aca="false">IF(COUNTIFS(Data_Long!$A$6:$A$243,G$5,Data_Long!$B$6:$B$243,$A32)=0,"",SUMIFS(Data_Long!$D$6:$D$243,Data_Long!$A$6:$A$243,G$5,Data_Long!$B$6:$B$243,$A32))</f>
        <v/>
      </c>
      <c r="H32" s="14" t="n">
        <f aca="false">IF(COUNTIFS(Data_Long!$A$6:$A$243,H$5,Data_Long!$B$6:$B$243,$A32)=0,"",SUMIFS(Data_Long!$D$6:$D$243,Data_Long!$A$6:$A$243,H$5,Data_Long!$B$6:$B$243,$A32))</f>
        <v>400</v>
      </c>
      <c r="I32" s="14" t="n">
        <f aca="false">IF(COUNTIFS(Data_Long!$A$6:$A$243,I$5,Data_Long!$B$6:$B$243,$A32)=0,"",SUMIFS(Data_Long!$D$6:$D$243,Data_Long!$A$6:$A$243,I$5,Data_Long!$B$6:$B$243,$A32))</f>
        <v>300</v>
      </c>
      <c r="J32" s="14" t="str">
        <f aca="false">IF(COUNTIFS(Data_Long!$A$6:$A$243,J$5,Data_Long!$B$6:$B$243,$A32)=0,"",SUMIFS(Data_Long!$D$6:$D$243,Data_Long!$A$6:$A$243,J$5,Data_Long!$B$6:$B$243,$A32))</f>
        <v/>
      </c>
      <c r="K32" s="2" t="s">
        <v>144</v>
      </c>
    </row>
    <row r="33" customFormat="false" ht="15" hidden="false" customHeight="false" outlineLevel="0" collapsed="false">
      <c r="A33" s="3" t="s">
        <v>145</v>
      </c>
      <c r="B33" s="6" t="s">
        <v>146</v>
      </c>
      <c r="C33" s="6" t="s">
        <v>83</v>
      </c>
      <c r="D33" s="14" t="str">
        <f aca="false">IF(COUNTIFS(Data_Long!$A$6:$A$243,D$5,Data_Long!$B$6:$B$243,$A33)=0,"",SUMIFS(Data_Long!$D$6:$D$243,Data_Long!$A$6:$A$243,D$5,Data_Long!$B$6:$B$243,$A33))</f>
        <v/>
      </c>
      <c r="E33" s="14" t="str">
        <f aca="false">IF(COUNTIFS(Data_Long!$A$6:$A$243,E$5,Data_Long!$B$6:$B$243,$A33)=0,"",SUMIFS(Data_Long!$D$6:$D$243,Data_Long!$A$6:$A$243,E$5,Data_Long!$B$6:$B$243,$A33))</f>
        <v/>
      </c>
      <c r="F33" s="14" t="str">
        <f aca="false">IF(COUNTIFS(Data_Long!$A$6:$A$243,F$5,Data_Long!$B$6:$B$243,$A33)=0,"",SUMIFS(Data_Long!$D$6:$D$243,Data_Long!$A$6:$A$243,F$5,Data_Long!$B$6:$B$243,$A33))</f>
        <v/>
      </c>
      <c r="G33" s="14" t="str">
        <f aca="false">IF(COUNTIFS(Data_Long!$A$6:$A$243,G$5,Data_Long!$B$6:$B$243,$A33)=0,"",SUMIFS(Data_Long!$D$6:$D$243,Data_Long!$A$6:$A$243,G$5,Data_Long!$B$6:$B$243,$A33))</f>
        <v/>
      </c>
      <c r="H33" s="14" t="n">
        <f aca="false">IF(COUNTIFS(Data_Long!$A$6:$A$243,H$5,Data_Long!$B$6:$B$243,$A33)=0,"",SUMIFS(Data_Long!$D$6:$D$243,Data_Long!$A$6:$A$243,H$5,Data_Long!$B$6:$B$243,$A33))</f>
        <v>400</v>
      </c>
      <c r="I33" s="14" t="n">
        <f aca="false">IF(COUNTIFS(Data_Long!$A$6:$A$243,I$5,Data_Long!$B$6:$B$243,$A33)=0,"",SUMIFS(Data_Long!$D$6:$D$243,Data_Long!$A$6:$A$243,I$5,Data_Long!$B$6:$B$243,$A33))</f>
        <v>300</v>
      </c>
      <c r="J33" s="14" t="n">
        <f aca="false">IF(COUNTIFS(Data_Long!$A$6:$A$243,J$5,Data_Long!$B$6:$B$243,$A33)=0,"",SUMIFS(Data_Long!$D$6:$D$243,Data_Long!$A$6:$A$243,J$5,Data_Long!$B$6:$B$243,$A33))</f>
        <v>400</v>
      </c>
      <c r="K33" s="2" t="s">
        <v>147</v>
      </c>
    </row>
    <row r="34" customFormat="false" ht="15" hidden="false" customHeight="false" outlineLevel="0" collapsed="false">
      <c r="A34" s="3" t="s">
        <v>148</v>
      </c>
      <c r="B34" s="6" t="s">
        <v>149</v>
      </c>
      <c r="C34" s="6" t="s">
        <v>83</v>
      </c>
      <c r="D34" s="14" t="str">
        <f aca="false">IF(COUNTIFS(Data_Long!$A$6:$A$243,D$5,Data_Long!$B$6:$B$243,$A34)=0,"",SUMIFS(Data_Long!$D$6:$D$243,Data_Long!$A$6:$A$243,D$5,Data_Long!$B$6:$B$243,$A34))</f>
        <v/>
      </c>
      <c r="E34" s="14" t="str">
        <f aca="false">IF(COUNTIFS(Data_Long!$A$6:$A$243,E$5,Data_Long!$B$6:$B$243,$A34)=0,"",SUMIFS(Data_Long!$D$6:$D$243,Data_Long!$A$6:$A$243,E$5,Data_Long!$B$6:$B$243,$A34))</f>
        <v/>
      </c>
      <c r="F34" s="14" t="str">
        <f aca="false">IF(COUNTIFS(Data_Long!$A$6:$A$243,F$5,Data_Long!$B$6:$B$243,$A34)=0,"",SUMIFS(Data_Long!$D$6:$D$243,Data_Long!$A$6:$A$243,F$5,Data_Long!$B$6:$B$243,$A34))</f>
        <v/>
      </c>
      <c r="G34" s="14" t="str">
        <f aca="false">IF(COUNTIFS(Data_Long!$A$6:$A$243,G$5,Data_Long!$B$6:$B$243,$A34)=0,"",SUMIFS(Data_Long!$D$6:$D$243,Data_Long!$A$6:$A$243,G$5,Data_Long!$B$6:$B$243,$A34))</f>
        <v/>
      </c>
      <c r="H34" s="14" t="str">
        <f aca="false">IF(COUNTIFS(Data_Long!$A$6:$A$243,H$5,Data_Long!$B$6:$B$243,$A34)=0,"",SUMIFS(Data_Long!$D$6:$D$243,Data_Long!$A$6:$A$243,H$5,Data_Long!$B$6:$B$243,$A34))</f>
        <v/>
      </c>
      <c r="I34" s="14" t="str">
        <f aca="false">IF(COUNTIFS(Data_Long!$A$6:$A$243,I$5,Data_Long!$B$6:$B$243,$A34)=0,"",SUMIFS(Data_Long!$D$6:$D$243,Data_Long!$A$6:$A$243,I$5,Data_Long!$B$6:$B$243,$A34))</f>
        <v/>
      </c>
      <c r="J34" s="14" t="n">
        <f aca="false">IF(COUNTIFS(Data_Long!$A$6:$A$243,J$5,Data_Long!$B$6:$B$243,$A34)=0,"",SUMIFS(Data_Long!$D$6:$D$243,Data_Long!$A$6:$A$243,J$5,Data_Long!$B$6:$B$243,$A34))</f>
        <v>300</v>
      </c>
      <c r="K34" s="2" t="s">
        <v>150</v>
      </c>
    </row>
    <row r="35" customFormat="false" ht="15" hidden="false" customHeight="false" outlineLevel="0" collapsed="false">
      <c r="A35" s="3" t="s">
        <v>151</v>
      </c>
      <c r="B35" s="6" t="s">
        <v>152</v>
      </c>
      <c r="C35" s="6" t="s">
        <v>83</v>
      </c>
      <c r="D35" s="14" t="n">
        <f aca="false">IF(COUNTIFS(Data_Long!$A$6:$A$243,D$5,Data_Long!$B$6:$B$243,$A35)=0,"",SUMIFS(Data_Long!$D$6:$D$243,Data_Long!$A$6:$A$243,D$5,Data_Long!$B$6:$B$243,$A35))</f>
        <v>0</v>
      </c>
      <c r="E35" s="14" t="n">
        <f aca="false">IF(COUNTIFS(Data_Long!$A$6:$A$243,E$5,Data_Long!$B$6:$B$243,$A35)=0,"",SUMIFS(Data_Long!$D$6:$D$243,Data_Long!$A$6:$A$243,E$5,Data_Long!$B$6:$B$243,$A35))</f>
        <v>2</v>
      </c>
      <c r="F35" s="14" t="n">
        <f aca="false">IF(COUNTIFS(Data_Long!$A$6:$A$243,F$5,Data_Long!$B$6:$B$243,$A35)=0,"",SUMIFS(Data_Long!$D$6:$D$243,Data_Long!$A$6:$A$243,F$5,Data_Long!$B$6:$B$243,$A35))</f>
        <v>0</v>
      </c>
      <c r="G35" s="14" t="n">
        <f aca="false">IF(COUNTIFS(Data_Long!$A$6:$A$243,G$5,Data_Long!$B$6:$B$243,$A35)=0,"",SUMIFS(Data_Long!$D$6:$D$243,Data_Long!$A$6:$A$243,G$5,Data_Long!$B$6:$B$243,$A35))</f>
        <v>3</v>
      </c>
      <c r="H35" s="14" t="n">
        <f aca="false">IF(COUNTIFS(Data_Long!$A$6:$A$243,H$5,Data_Long!$B$6:$B$243,$A35)=0,"",SUMIFS(Data_Long!$D$6:$D$243,Data_Long!$A$6:$A$243,H$5,Data_Long!$B$6:$B$243,$A35))</f>
        <v>295</v>
      </c>
      <c r="I35" s="14" t="n">
        <f aca="false">IF(COUNTIFS(Data_Long!$A$6:$A$243,I$5,Data_Long!$B$6:$B$243,$A35)=0,"",SUMIFS(Data_Long!$D$6:$D$243,Data_Long!$A$6:$A$243,I$5,Data_Long!$B$6:$B$243,$A35))</f>
        <v>900</v>
      </c>
      <c r="J35" s="14" t="n">
        <f aca="false">IF(COUNTIFS(Data_Long!$A$6:$A$243,J$5,Data_Long!$B$6:$B$243,$A35)=0,"",SUMIFS(Data_Long!$D$6:$D$243,Data_Long!$A$6:$A$243,J$5,Data_Long!$B$6:$B$243,$A35))</f>
        <v>61</v>
      </c>
      <c r="K35" s="2" t="s">
        <v>99</v>
      </c>
    </row>
    <row r="36" customFormat="false" ht="15" hidden="false" customHeight="false" outlineLevel="0" collapsed="false">
      <c r="A36" s="3" t="s">
        <v>153</v>
      </c>
      <c r="B36" s="6" t="s">
        <v>154</v>
      </c>
      <c r="C36" s="6" t="s">
        <v>83</v>
      </c>
      <c r="D36" s="14" t="str">
        <f aca="false">IF(COUNTIFS(Data_Long!$A$6:$A$243,D$5,Data_Long!$B$6:$B$243,$A36)=0,"",SUMIFS(Data_Long!$D$6:$D$243,Data_Long!$A$6:$A$243,D$5,Data_Long!$B$6:$B$243,$A36))</f>
        <v/>
      </c>
      <c r="E36" s="14" t="str">
        <f aca="false">IF(COUNTIFS(Data_Long!$A$6:$A$243,E$5,Data_Long!$B$6:$B$243,$A36)=0,"",SUMIFS(Data_Long!$D$6:$D$243,Data_Long!$A$6:$A$243,E$5,Data_Long!$B$6:$B$243,$A36))</f>
        <v/>
      </c>
      <c r="F36" s="14" t="n">
        <f aca="false">IF(COUNTIFS(Data_Long!$A$6:$A$243,F$5,Data_Long!$B$6:$B$243,$A36)=0,"",SUMIFS(Data_Long!$D$6:$D$243,Data_Long!$A$6:$A$243,F$5,Data_Long!$B$6:$B$243,$A36))</f>
        <v>-460</v>
      </c>
      <c r="G36" s="14" t="n">
        <f aca="false">IF(COUNTIFS(Data_Long!$A$6:$A$243,G$5,Data_Long!$B$6:$B$243,$A36)=0,"",SUMIFS(Data_Long!$D$6:$D$243,Data_Long!$A$6:$A$243,G$5,Data_Long!$B$6:$B$243,$A36))</f>
        <v>-540</v>
      </c>
      <c r="H36" s="14" t="n">
        <f aca="false">IF(COUNTIFS(Data_Long!$A$6:$A$243,H$5,Data_Long!$B$6:$B$243,$A36)=0,"",SUMIFS(Data_Long!$D$6:$D$243,Data_Long!$A$6:$A$243,H$5,Data_Long!$B$6:$B$243,$A36))</f>
        <v>-1620</v>
      </c>
      <c r="I36" s="14" t="n">
        <f aca="false">IF(COUNTIFS(Data_Long!$A$6:$A$243,I$5,Data_Long!$B$6:$B$243,$A36)=0,"",SUMIFS(Data_Long!$D$6:$D$243,Data_Long!$A$6:$A$243,I$5,Data_Long!$B$6:$B$243,$A36))</f>
        <v>-2550</v>
      </c>
      <c r="J36" s="14" t="n">
        <f aca="false">IF(COUNTIFS(Data_Long!$A$6:$A$243,J$5,Data_Long!$B$6:$B$243,$A36)=0,"",SUMIFS(Data_Long!$D$6:$D$243,Data_Long!$A$6:$A$243,J$5,Data_Long!$B$6:$B$243,$A36))</f>
        <v>150</v>
      </c>
      <c r="K36" s="2" t="s">
        <v>155</v>
      </c>
    </row>
    <row r="37" customFormat="false" ht="15" hidden="false" customHeight="false" outlineLevel="0" collapsed="false">
      <c r="A37" s="3" t="s">
        <v>156</v>
      </c>
      <c r="B37" s="6" t="s">
        <v>157</v>
      </c>
      <c r="C37" s="6" t="s">
        <v>83</v>
      </c>
      <c r="D37" s="14" t="str">
        <f aca="false">IF(COUNTIFS(Data_Long!$A$6:$A$243,D$5,Data_Long!$B$6:$B$243,$A37)=0,"",SUMIFS(Data_Long!$D$6:$D$243,Data_Long!$A$6:$A$243,D$5,Data_Long!$B$6:$B$243,$A37))</f>
        <v/>
      </c>
      <c r="E37" s="14" t="str">
        <f aca="false">IF(COUNTIFS(Data_Long!$A$6:$A$243,E$5,Data_Long!$B$6:$B$243,$A37)=0,"",SUMIFS(Data_Long!$D$6:$D$243,Data_Long!$A$6:$A$243,E$5,Data_Long!$B$6:$B$243,$A37))</f>
        <v/>
      </c>
      <c r="F37" s="14" t="n">
        <f aca="false">IF(COUNTIFS(Data_Long!$A$6:$A$243,F$5,Data_Long!$B$6:$B$243,$A37)=0,"",SUMIFS(Data_Long!$D$6:$D$243,Data_Long!$A$6:$A$243,F$5,Data_Long!$B$6:$B$243,$A37))</f>
        <v>-240</v>
      </c>
      <c r="G37" s="14" t="n">
        <f aca="false">IF(COUNTIFS(Data_Long!$A$6:$A$243,G$5,Data_Long!$B$6:$B$243,$A37)=0,"",SUMIFS(Data_Long!$D$6:$D$243,Data_Long!$A$6:$A$243,G$5,Data_Long!$B$6:$B$243,$A37))</f>
        <v>-60</v>
      </c>
      <c r="H37" s="14" t="n">
        <f aca="false">IF(COUNTIFS(Data_Long!$A$6:$A$243,H$5,Data_Long!$B$6:$B$243,$A37)=0,"",SUMIFS(Data_Long!$D$6:$D$243,Data_Long!$A$6:$A$243,H$5,Data_Long!$B$6:$B$243,$A37))</f>
        <v>-220</v>
      </c>
      <c r="I37" s="14" t="n">
        <f aca="false">IF(COUNTIFS(Data_Long!$A$6:$A$243,I$5,Data_Long!$B$6:$B$243,$A37)=0,"",SUMIFS(Data_Long!$D$6:$D$243,Data_Long!$A$6:$A$243,I$5,Data_Long!$B$6:$B$243,$A37))</f>
        <v>-890</v>
      </c>
      <c r="J37" s="14" t="n">
        <f aca="false">IF(COUNTIFS(Data_Long!$A$6:$A$243,J$5,Data_Long!$B$6:$B$243,$A37)=0,"",SUMIFS(Data_Long!$D$6:$D$243,Data_Long!$A$6:$A$243,J$5,Data_Long!$B$6:$B$243,$A37))</f>
        <v>-50</v>
      </c>
      <c r="K37" s="2" t="s">
        <v>155</v>
      </c>
    </row>
    <row r="38" customFormat="false" ht="15" hidden="false" customHeight="false" outlineLevel="0" collapsed="false">
      <c r="A38" s="3" t="s">
        <v>158</v>
      </c>
      <c r="B38" s="6" t="s">
        <v>159</v>
      </c>
      <c r="C38" s="6" t="s">
        <v>83</v>
      </c>
      <c r="D38" s="14" t="str">
        <f aca="false">IF(COUNTIFS(Data_Long!$A$6:$A$243,D$5,Data_Long!$B$6:$B$243,$A38)=0,"",SUMIFS(Data_Long!$D$6:$D$243,Data_Long!$A$6:$A$243,D$5,Data_Long!$B$6:$B$243,$A38))</f>
        <v/>
      </c>
      <c r="E38" s="14" t="str">
        <f aca="false">IF(COUNTIFS(Data_Long!$A$6:$A$243,E$5,Data_Long!$B$6:$B$243,$A38)=0,"",SUMIFS(Data_Long!$D$6:$D$243,Data_Long!$A$6:$A$243,E$5,Data_Long!$B$6:$B$243,$A38))</f>
        <v/>
      </c>
      <c r="F38" s="14" t="n">
        <f aca="false">IF(COUNTIFS(Data_Long!$A$6:$A$243,F$5,Data_Long!$B$6:$B$243,$A38)=0,"",SUMIFS(Data_Long!$D$6:$D$243,Data_Long!$A$6:$A$243,F$5,Data_Long!$B$6:$B$243,$A38))</f>
        <v>-160</v>
      </c>
      <c r="G38" s="14" t="n">
        <f aca="false">IF(COUNTIFS(Data_Long!$A$6:$A$243,G$5,Data_Long!$B$6:$B$243,$A38)=0,"",SUMIFS(Data_Long!$D$6:$D$243,Data_Long!$A$6:$A$243,G$5,Data_Long!$B$6:$B$243,$A38))</f>
        <v>-140</v>
      </c>
      <c r="H38" s="14" t="n">
        <f aca="false">IF(COUNTIFS(Data_Long!$A$6:$A$243,H$5,Data_Long!$B$6:$B$243,$A38)=0,"",SUMIFS(Data_Long!$D$6:$D$243,Data_Long!$A$6:$A$243,H$5,Data_Long!$B$6:$B$243,$A38))</f>
        <v>40</v>
      </c>
      <c r="I38" s="14" t="n">
        <f aca="false">IF(COUNTIFS(Data_Long!$A$6:$A$243,I$5,Data_Long!$B$6:$B$243,$A38)=0,"",SUMIFS(Data_Long!$D$6:$D$243,Data_Long!$A$6:$A$243,I$5,Data_Long!$B$6:$B$243,$A38))</f>
        <v>220</v>
      </c>
      <c r="J38" s="14" t="n">
        <f aca="false">IF(COUNTIFS(Data_Long!$A$6:$A$243,J$5,Data_Long!$B$6:$B$243,$A38)=0,"",SUMIFS(Data_Long!$D$6:$D$243,Data_Long!$A$6:$A$243,J$5,Data_Long!$B$6:$B$243,$A38))</f>
        <v>10</v>
      </c>
      <c r="K38" s="2" t="s">
        <v>155</v>
      </c>
    </row>
    <row r="39" customFormat="false" ht="15" hidden="false" customHeight="false" outlineLevel="0" collapsed="false">
      <c r="A39" s="3" t="s">
        <v>160</v>
      </c>
      <c r="B39" s="6" t="s">
        <v>161</v>
      </c>
      <c r="C39" s="6" t="s">
        <v>83</v>
      </c>
      <c r="D39" s="14" t="str">
        <f aca="false">IF(COUNTIFS(Data_Long!$A$6:$A$243,D$5,Data_Long!$B$6:$B$243,$A39)=0,"",SUMIFS(Data_Long!$D$6:$D$243,Data_Long!$A$6:$A$243,D$5,Data_Long!$B$6:$B$243,$A39))</f>
        <v/>
      </c>
      <c r="E39" s="14" t="str">
        <f aca="false">IF(COUNTIFS(Data_Long!$A$6:$A$243,E$5,Data_Long!$B$6:$B$243,$A39)=0,"",SUMIFS(Data_Long!$D$6:$D$243,Data_Long!$A$6:$A$243,E$5,Data_Long!$B$6:$B$243,$A39))</f>
        <v/>
      </c>
      <c r="F39" s="14" t="n">
        <f aca="false">IF(COUNTIFS(Data_Long!$A$6:$A$243,F$5,Data_Long!$B$6:$B$243,$A39)=0,"",SUMIFS(Data_Long!$D$6:$D$243,Data_Long!$A$6:$A$243,F$5,Data_Long!$B$6:$B$243,$A39))</f>
        <v>80</v>
      </c>
      <c r="G39" s="14" t="n">
        <f aca="false">IF(COUNTIFS(Data_Long!$A$6:$A$243,G$5,Data_Long!$B$6:$B$243,$A39)=0,"",SUMIFS(Data_Long!$D$6:$D$243,Data_Long!$A$6:$A$243,G$5,Data_Long!$B$6:$B$243,$A39))</f>
        <v>-180</v>
      </c>
      <c r="H39" s="14" t="n">
        <f aca="false">IF(COUNTIFS(Data_Long!$A$6:$A$243,H$5,Data_Long!$B$6:$B$243,$A39)=0,"",SUMIFS(Data_Long!$D$6:$D$243,Data_Long!$A$6:$A$243,H$5,Data_Long!$B$6:$B$243,$A39))</f>
        <v>-260</v>
      </c>
      <c r="I39" s="14" t="n">
        <f aca="false">IF(COUNTIFS(Data_Long!$A$6:$A$243,I$5,Data_Long!$B$6:$B$243,$A39)=0,"",SUMIFS(Data_Long!$D$6:$D$243,Data_Long!$A$6:$A$243,I$5,Data_Long!$B$6:$B$243,$A39))</f>
        <v>50</v>
      </c>
      <c r="J39" s="14" t="n">
        <f aca="false">IF(COUNTIFS(Data_Long!$A$6:$A$243,J$5,Data_Long!$B$6:$B$243,$A39)=0,"",SUMIFS(Data_Long!$D$6:$D$243,Data_Long!$A$6:$A$243,J$5,Data_Long!$B$6:$B$243,$A39))</f>
        <v>230</v>
      </c>
      <c r="K39" s="2" t="s">
        <v>155</v>
      </c>
    </row>
    <row r="40" customFormat="false" ht="15" hidden="false" customHeight="false" outlineLevel="0" collapsed="false">
      <c r="A40" s="3" t="s">
        <v>162</v>
      </c>
      <c r="B40" s="6" t="s">
        <v>163</v>
      </c>
      <c r="C40" s="6" t="s">
        <v>83</v>
      </c>
      <c r="D40" s="14" t="str">
        <f aca="false">IF(COUNTIFS(Data_Long!$A$6:$A$243,D$5,Data_Long!$B$6:$B$243,$A40)=0,"",SUMIFS(Data_Long!$D$6:$D$243,Data_Long!$A$6:$A$243,D$5,Data_Long!$B$6:$B$243,$A40))</f>
        <v/>
      </c>
      <c r="E40" s="14" t="str">
        <f aca="false">IF(COUNTIFS(Data_Long!$A$6:$A$243,E$5,Data_Long!$B$6:$B$243,$A40)=0,"",SUMIFS(Data_Long!$D$6:$D$243,Data_Long!$A$6:$A$243,E$5,Data_Long!$B$6:$B$243,$A40))</f>
        <v/>
      </c>
      <c r="F40" s="14" t="str">
        <f aca="false">IF(COUNTIFS(Data_Long!$A$6:$A$243,F$5,Data_Long!$B$6:$B$243,$A40)=0,"",SUMIFS(Data_Long!$D$6:$D$243,Data_Long!$A$6:$A$243,F$5,Data_Long!$B$6:$B$243,$A40))</f>
        <v/>
      </c>
      <c r="G40" s="14" t="str">
        <f aca="false">IF(COUNTIFS(Data_Long!$A$6:$A$243,G$5,Data_Long!$B$6:$B$243,$A40)=0,"",SUMIFS(Data_Long!$D$6:$D$243,Data_Long!$A$6:$A$243,G$5,Data_Long!$B$6:$B$243,$A40))</f>
        <v/>
      </c>
      <c r="H40" s="14" t="n">
        <f aca="false">IF(COUNTIFS(Data_Long!$A$6:$A$243,H$5,Data_Long!$B$6:$B$243,$A40)=0,"",SUMIFS(Data_Long!$D$6:$D$243,Data_Long!$A$6:$A$243,H$5,Data_Long!$B$6:$B$243,$A40))</f>
        <v>-1100</v>
      </c>
      <c r="I40" s="14" t="n">
        <f aca="false">IF(COUNTIFS(Data_Long!$A$6:$A$243,I$5,Data_Long!$B$6:$B$243,$A40)=0,"",SUMIFS(Data_Long!$D$6:$D$243,Data_Long!$A$6:$A$243,I$5,Data_Long!$B$6:$B$243,$A40))</f>
        <v>-2800</v>
      </c>
      <c r="J40" s="14" t="n">
        <f aca="false">IF(COUNTIFS(Data_Long!$A$6:$A$243,J$5,Data_Long!$B$6:$B$243,$A40)=0,"",SUMIFS(Data_Long!$D$6:$D$243,Data_Long!$A$6:$A$243,J$5,Data_Long!$B$6:$B$243,$A40))</f>
        <v>-100</v>
      </c>
      <c r="K40" s="2" t="s">
        <v>164</v>
      </c>
    </row>
    <row r="41" customFormat="false" ht="15" hidden="false" customHeight="false" outlineLevel="0" collapsed="false">
      <c r="A41" s="3" t="s">
        <v>165</v>
      </c>
      <c r="B41" s="6" t="s">
        <v>166</v>
      </c>
      <c r="C41" s="6" t="s">
        <v>167</v>
      </c>
      <c r="D41" s="14" t="n">
        <f aca="false">IF(COUNTIFS(Data_Long!$A$6:$A$243,D$5,Data_Long!$B$6:$B$243,$A41)=0,"",SUMIFS(Data_Long!$D$6:$D$243,Data_Long!$A$6:$A$243,D$5,Data_Long!$B$6:$B$243,$A41))</f>
        <v>167354</v>
      </c>
      <c r="E41" s="14" t="n">
        <f aca="false">IF(COUNTIFS(Data_Long!$A$6:$A$243,E$5,Data_Long!$B$6:$B$243,$A41)=0,"",SUMIFS(Data_Long!$D$6:$D$243,Data_Long!$A$6:$A$243,E$5,Data_Long!$B$6:$B$243,$A41))</f>
        <v>152867</v>
      </c>
      <c r="F41" s="14" t="n">
        <f aca="false">IF(COUNTIFS(Data_Long!$A$6:$A$243,F$5,Data_Long!$B$6:$B$243,$A41)=0,"",SUMIFS(Data_Long!$D$6:$D$243,Data_Long!$A$6:$A$243,F$5,Data_Long!$B$6:$B$243,$A41))</f>
        <v>155945</v>
      </c>
      <c r="G41" s="14" t="n">
        <f aca="false">IF(COUNTIFS(Data_Long!$A$6:$A$243,G$5,Data_Long!$B$6:$B$243,$A41)=0,"",SUMIFS(Data_Long!$D$6:$D$243,Data_Long!$A$6:$A$243,G$5,Data_Long!$B$6:$B$243,$A41))</f>
        <v>154773</v>
      </c>
      <c r="H41" s="14" t="n">
        <f aca="false">IF(COUNTIFS(Data_Long!$A$6:$A$243,H$5,Data_Long!$B$6:$B$243,$A41)=0,"",SUMIFS(Data_Long!$D$6:$D$243,Data_Long!$A$6:$A$243,H$5,Data_Long!$B$6:$B$243,$A41))</f>
        <v>146391</v>
      </c>
      <c r="I41" s="14" t="n">
        <f aca="false">IF(COUNTIFS(Data_Long!$A$6:$A$243,I$5,Data_Long!$B$6:$B$243,$A41)=0,"",SUMIFS(Data_Long!$D$6:$D$243,Data_Long!$A$6:$A$243,I$5,Data_Long!$B$6:$B$243,$A41))</f>
        <v>133058</v>
      </c>
      <c r="J41" s="14" t="n">
        <f aca="false">IF(COUNTIFS(Data_Long!$A$6:$A$243,J$5,Data_Long!$B$6:$B$243,$A41)=0,"",SUMIFS(Data_Long!$D$6:$D$243,Data_Long!$A$6:$A$243,J$5,Data_Long!$B$6:$B$243,$A41))</f>
        <v>122306</v>
      </c>
      <c r="K41" s="2" t="s">
        <v>84</v>
      </c>
    </row>
    <row r="42" customFormat="false" ht="15" hidden="false" customHeight="false" outlineLevel="0" collapsed="false">
      <c r="A42" s="3" t="s">
        <v>168</v>
      </c>
      <c r="B42" s="6" t="s">
        <v>169</v>
      </c>
      <c r="C42" s="6" t="s">
        <v>167</v>
      </c>
      <c r="D42" s="14" t="n">
        <f aca="false">IF(COUNTIFS(Data_Long!$A$6:$A$243,D$5,Data_Long!$B$6:$B$243,$A42)=0,"",SUMIFS(Data_Long!$D$6:$D$243,Data_Long!$A$6:$A$243,D$5,Data_Long!$B$6:$B$243,$A42))</f>
        <v>170802</v>
      </c>
      <c r="E42" s="14" t="n">
        <f aca="false">IF(COUNTIFS(Data_Long!$A$6:$A$243,E$5,Data_Long!$B$6:$B$243,$A42)=0,"",SUMIFS(Data_Long!$D$6:$D$243,Data_Long!$A$6:$A$243,E$5,Data_Long!$B$6:$B$243,$A42))</f>
        <v>162803</v>
      </c>
      <c r="F42" s="14" t="n">
        <f aca="false">IF(COUNTIFS(Data_Long!$A$6:$A$243,F$5,Data_Long!$B$6:$B$243,$A42)=0,"",SUMIFS(Data_Long!$D$6:$D$243,Data_Long!$A$6:$A$243,F$5,Data_Long!$B$6:$B$243,$A42))</f>
        <v>151944</v>
      </c>
      <c r="G42" s="14" t="n">
        <f aca="false">IF(COUNTIFS(Data_Long!$A$6:$A$243,G$5,Data_Long!$B$6:$B$243,$A42)=0,"",SUMIFS(Data_Long!$D$6:$D$243,Data_Long!$A$6:$A$243,G$5,Data_Long!$B$6:$B$243,$A42))</f>
        <v>160676</v>
      </c>
      <c r="H42" s="14" t="n">
        <f aca="false">IF(COUNTIFS(Data_Long!$A$6:$A$243,H$5,Data_Long!$B$6:$B$243,$A42)=0,"",SUMIFS(Data_Long!$D$6:$D$243,Data_Long!$A$6:$A$243,H$5,Data_Long!$B$6:$B$243,$A42))</f>
        <v>135142</v>
      </c>
      <c r="I42" s="14" t="n">
        <f aca="false">IF(COUNTIFS(Data_Long!$A$6:$A$243,I$5,Data_Long!$B$6:$B$243,$A42)=0,"",SUMIFS(Data_Long!$D$6:$D$243,Data_Long!$A$6:$A$243,I$5,Data_Long!$B$6:$B$243,$A42))</f>
        <v>130521</v>
      </c>
      <c r="J42" s="14" t="n">
        <f aca="false">IF(COUNTIFS(Data_Long!$A$6:$A$243,J$5,Data_Long!$B$6:$B$243,$A42)=0,"",SUMIFS(Data_Long!$D$6:$D$243,Data_Long!$A$6:$A$243,J$5,Data_Long!$B$6:$B$243,$A42))</f>
        <v>120508</v>
      </c>
      <c r="K42" s="2" t="s">
        <v>84</v>
      </c>
    </row>
    <row r="43" customFormat="false" ht="15" hidden="false" customHeight="false" outlineLevel="0" collapsed="false">
      <c r="A43" s="3" t="s">
        <v>170</v>
      </c>
      <c r="B43" s="6" t="s">
        <v>171</v>
      </c>
      <c r="C43" s="6" t="s">
        <v>172</v>
      </c>
      <c r="D43" s="15" t="n">
        <f aca="false">IF(COUNTIFS(Data_Long!$A$6:$A$243,D$5,Data_Long!$B$6:$B$243,$A43)=0,"",SUMIFS(Data_Long!$D$6:$D$243,Data_Long!$A$6:$A$243,D$5,Data_Long!$B$6:$B$243,$A43))</f>
        <v>111</v>
      </c>
      <c r="E43" s="15" t="str">
        <f aca="false">IF(COUNTIFS(Data_Long!$A$6:$A$243,E$5,Data_Long!$B$6:$B$243,$A43)=0,"",SUMIFS(Data_Long!$D$6:$D$243,Data_Long!$A$6:$A$243,E$5,Data_Long!$B$6:$B$243,$A43))</f>
        <v/>
      </c>
      <c r="F43" s="15" t="n">
        <f aca="false">IF(COUNTIFS(Data_Long!$A$6:$A$243,F$5,Data_Long!$B$6:$B$243,$A43)=0,"",SUMIFS(Data_Long!$D$6:$D$243,Data_Long!$A$6:$A$243,F$5,Data_Long!$B$6:$B$243,$A43))</f>
        <v>116</v>
      </c>
      <c r="G43" s="15" t="str">
        <f aca="false">IF(COUNTIFS(Data_Long!$A$6:$A$243,G$5,Data_Long!$B$6:$B$243,$A43)=0,"",SUMIFS(Data_Long!$D$6:$D$243,Data_Long!$A$6:$A$243,G$5,Data_Long!$B$6:$B$243,$A43))</f>
        <v/>
      </c>
      <c r="H43" s="15" t="n">
        <f aca="false">IF(COUNTIFS(Data_Long!$A$6:$A$243,H$5,Data_Long!$B$6:$B$243,$A43)=0,"",SUMIFS(Data_Long!$D$6:$D$243,Data_Long!$A$6:$A$243,H$5,Data_Long!$B$6:$B$243,$A43))</f>
        <v>119</v>
      </c>
      <c r="I43" s="15" t="str">
        <f aca="false">IF(COUNTIFS(Data_Long!$A$6:$A$243,I$5,Data_Long!$B$6:$B$243,$A43)=0,"",SUMIFS(Data_Long!$D$6:$D$243,Data_Long!$A$6:$A$243,I$5,Data_Long!$B$6:$B$243,$A43))</f>
        <v/>
      </c>
      <c r="J43" s="15" t="n">
        <f aca="false">IF(COUNTIFS(Data_Long!$A$6:$A$243,J$5,Data_Long!$B$6:$B$243,$A43)=0,"",SUMIFS(Data_Long!$D$6:$D$243,Data_Long!$A$6:$A$243,J$5,Data_Long!$B$6:$B$243,$A43))</f>
        <v>126</v>
      </c>
      <c r="K43" s="2" t="s">
        <v>173</v>
      </c>
    </row>
    <row r="44" customFormat="false" ht="15" hidden="false" customHeight="false" outlineLevel="0" collapsed="false">
      <c r="A44" s="3" t="s">
        <v>174</v>
      </c>
      <c r="B44" s="6" t="s">
        <v>175</v>
      </c>
      <c r="C44" s="6" t="s">
        <v>106</v>
      </c>
      <c r="D44" s="15" t="n">
        <f aca="false">IF(COUNTIFS(Data_Long!$A$6:$A$243,D$5,Data_Long!$B$6:$B$243,$A44)=0,"",SUMIFS(Data_Long!$D$6:$D$243,Data_Long!$A$6:$A$243,D$5,Data_Long!$B$6:$B$243,$A44))</f>
        <v>10.8</v>
      </c>
      <c r="E44" s="15" t="str">
        <f aca="false">IF(COUNTIFS(Data_Long!$A$6:$A$243,E$5,Data_Long!$B$6:$B$243,$A44)=0,"",SUMIFS(Data_Long!$D$6:$D$243,Data_Long!$A$6:$A$243,E$5,Data_Long!$B$6:$B$243,$A44))</f>
        <v/>
      </c>
      <c r="F44" s="15" t="n">
        <f aca="false">IF(COUNTIFS(Data_Long!$A$6:$A$243,F$5,Data_Long!$B$6:$B$243,$A44)=0,"",SUMIFS(Data_Long!$D$6:$D$243,Data_Long!$A$6:$A$243,F$5,Data_Long!$B$6:$B$243,$A44))</f>
        <v>5.9</v>
      </c>
      <c r="G44" s="15" t="str">
        <f aca="false">IF(COUNTIFS(Data_Long!$A$6:$A$243,G$5,Data_Long!$B$6:$B$243,$A44)=0,"",SUMIFS(Data_Long!$D$6:$D$243,Data_Long!$A$6:$A$243,G$5,Data_Long!$B$6:$B$243,$A44))</f>
        <v/>
      </c>
      <c r="H44" s="15" t="n">
        <f aca="false">IF(COUNTIFS(Data_Long!$A$6:$A$243,H$5,Data_Long!$B$6:$B$243,$A44)=0,"",SUMIFS(Data_Long!$D$6:$D$243,Data_Long!$A$6:$A$243,H$5,Data_Long!$B$6:$B$243,$A44))</f>
        <v>23.5</v>
      </c>
      <c r="I44" s="15" t="str">
        <f aca="false">IF(COUNTIFS(Data_Long!$A$6:$A$243,I$5,Data_Long!$B$6:$B$243,$A44)=0,"",SUMIFS(Data_Long!$D$6:$D$243,Data_Long!$A$6:$A$243,I$5,Data_Long!$B$6:$B$243,$A44))</f>
        <v/>
      </c>
      <c r="J44" s="15" t="n">
        <f aca="false">IF(COUNTIFS(Data_Long!$A$6:$A$243,J$5,Data_Long!$B$6:$B$243,$A44)=0,"",SUMIFS(Data_Long!$D$6:$D$243,Data_Long!$A$6:$A$243,J$5,Data_Long!$B$6:$B$243,$A44))</f>
        <v>19.4</v>
      </c>
      <c r="K44" s="2" t="s">
        <v>176</v>
      </c>
    </row>
    <row r="46" customFormat="false" ht="15" hidden="false" customHeight="false" outlineLevel="0" collapsed="false">
      <c r="A46" s="16" t="s">
        <v>177</v>
      </c>
    </row>
    <row r="47" customFormat="false" ht="15" hidden="false" customHeight="false" outlineLevel="0" collapsed="false">
      <c r="A47" s="13" t="s">
        <v>70</v>
      </c>
      <c r="B47" s="13" t="s">
        <v>71</v>
      </c>
      <c r="C47" s="13"/>
      <c r="D47" s="13" t="s">
        <v>73</v>
      </c>
      <c r="E47" s="13" t="s">
        <v>74</v>
      </c>
      <c r="F47" s="13" t="s">
        <v>75</v>
      </c>
      <c r="G47" s="13" t="s">
        <v>76</v>
      </c>
      <c r="H47" s="13" t="s">
        <v>77</v>
      </c>
      <c r="I47" s="13" t="s">
        <v>78</v>
      </c>
      <c r="J47" s="13" t="s">
        <v>79</v>
      </c>
    </row>
    <row r="48" customFormat="false" ht="15" hidden="false" customHeight="false" outlineLevel="0" collapsed="false">
      <c r="A48" s="6" t="s">
        <v>81</v>
      </c>
      <c r="B48" s="6" t="s">
        <v>82</v>
      </c>
      <c r="D48" s="17" t="str">
        <f aca="false">IF(COUNTIFS(Data_Long!$A$6:$A$243,D$5,Data_Long!$B$6:$B$243,$A48)=0,"not published",IF(COUNTIFS(Data_Long!$A$6:$A$243,D$5,Data_Long!$B$6:$B$243,$A48,Data_Long!$F$6:$F$243,"DERIVED")&gt;0,"DERIVED","FACT"))</f>
        <v>FACT</v>
      </c>
      <c r="E48" s="17" t="str">
        <f aca="false">IF(COUNTIFS(Data_Long!$A$6:$A$243,E$5,Data_Long!$B$6:$B$243,$A48)=0,"not published",IF(COUNTIFS(Data_Long!$A$6:$A$243,E$5,Data_Long!$B$6:$B$243,$A48,Data_Long!$F$6:$F$243,"DERIVED")&gt;0,"DERIVED","FACT"))</f>
        <v>DERIVED</v>
      </c>
      <c r="F48" s="17" t="str">
        <f aca="false">IF(COUNTIFS(Data_Long!$A$6:$A$243,F$5,Data_Long!$B$6:$B$243,$A48)=0,"not published",IF(COUNTIFS(Data_Long!$A$6:$A$243,F$5,Data_Long!$B$6:$B$243,$A48,Data_Long!$F$6:$F$243,"DERIVED")&gt;0,"DERIVED","FACT"))</f>
        <v>FACT</v>
      </c>
      <c r="G48" s="17" t="str">
        <f aca="false">IF(COUNTIFS(Data_Long!$A$6:$A$243,G$5,Data_Long!$B$6:$B$243,$A48)=0,"not published",IF(COUNTIFS(Data_Long!$A$6:$A$243,G$5,Data_Long!$B$6:$B$243,$A48,Data_Long!$F$6:$F$243,"DERIVED")&gt;0,"DERIVED","FACT"))</f>
        <v>DERIVED</v>
      </c>
      <c r="H48" s="17" t="str">
        <f aca="false">IF(COUNTIFS(Data_Long!$A$6:$A$243,H$5,Data_Long!$B$6:$B$243,$A48)=0,"not published",IF(COUNTIFS(Data_Long!$A$6:$A$243,H$5,Data_Long!$B$6:$B$243,$A48,Data_Long!$F$6:$F$243,"DERIVED")&gt;0,"DERIVED","FACT"))</f>
        <v>FACT</v>
      </c>
      <c r="I48" s="17" t="str">
        <f aca="false">IF(COUNTIFS(Data_Long!$A$6:$A$243,I$5,Data_Long!$B$6:$B$243,$A48)=0,"not published",IF(COUNTIFS(Data_Long!$A$6:$A$243,I$5,Data_Long!$B$6:$B$243,$A48,Data_Long!$F$6:$F$243,"DERIVED")&gt;0,"DERIVED","FACT"))</f>
        <v>DERIVED</v>
      </c>
      <c r="J48" s="17" t="str">
        <f aca="false">IF(COUNTIFS(Data_Long!$A$6:$A$243,J$5,Data_Long!$B$6:$B$243,$A48)=0,"not published",IF(COUNTIFS(Data_Long!$A$6:$A$243,J$5,Data_Long!$B$6:$B$243,$A48,Data_Long!$F$6:$F$243,"DERIVED")&gt;0,"DERIVED","FACT"))</f>
        <v>FACT</v>
      </c>
    </row>
    <row r="49" customFormat="false" ht="15" hidden="false" customHeight="false" outlineLevel="0" collapsed="false">
      <c r="A49" s="6" t="s">
        <v>85</v>
      </c>
      <c r="B49" s="6" t="s">
        <v>86</v>
      </c>
      <c r="D49" s="17" t="str">
        <f aca="false">IF(COUNTIFS(Data_Long!$A$6:$A$243,D$5,Data_Long!$B$6:$B$243,$A49)=0,"not published",IF(COUNTIFS(Data_Long!$A$6:$A$243,D$5,Data_Long!$B$6:$B$243,$A49,Data_Long!$F$6:$F$243,"DERIVED")&gt;0,"DERIVED","FACT"))</f>
        <v>FACT</v>
      </c>
      <c r="E49" s="17" t="str">
        <f aca="false">IF(COUNTIFS(Data_Long!$A$6:$A$243,E$5,Data_Long!$B$6:$B$243,$A49)=0,"not published",IF(COUNTIFS(Data_Long!$A$6:$A$243,E$5,Data_Long!$B$6:$B$243,$A49,Data_Long!$F$6:$F$243,"DERIVED")&gt;0,"DERIVED","FACT"))</f>
        <v>DERIVED</v>
      </c>
      <c r="F49" s="17" t="str">
        <f aca="false">IF(COUNTIFS(Data_Long!$A$6:$A$243,F$5,Data_Long!$B$6:$B$243,$A49)=0,"not published",IF(COUNTIFS(Data_Long!$A$6:$A$243,F$5,Data_Long!$B$6:$B$243,$A49,Data_Long!$F$6:$F$243,"DERIVED")&gt;0,"DERIVED","FACT"))</f>
        <v>FACT</v>
      </c>
      <c r="G49" s="17" t="str">
        <f aca="false">IF(COUNTIFS(Data_Long!$A$6:$A$243,G$5,Data_Long!$B$6:$B$243,$A49)=0,"not published",IF(COUNTIFS(Data_Long!$A$6:$A$243,G$5,Data_Long!$B$6:$B$243,$A49,Data_Long!$F$6:$F$243,"DERIVED")&gt;0,"DERIVED","FACT"))</f>
        <v>DERIVED</v>
      </c>
      <c r="H49" s="17" t="str">
        <f aca="false">IF(COUNTIFS(Data_Long!$A$6:$A$243,H$5,Data_Long!$B$6:$B$243,$A49)=0,"not published",IF(COUNTIFS(Data_Long!$A$6:$A$243,H$5,Data_Long!$B$6:$B$243,$A49,Data_Long!$F$6:$F$243,"DERIVED")&gt;0,"DERIVED","FACT"))</f>
        <v>FACT</v>
      </c>
      <c r="I49" s="17" t="str">
        <f aca="false">IF(COUNTIFS(Data_Long!$A$6:$A$243,I$5,Data_Long!$B$6:$B$243,$A49)=0,"not published",IF(COUNTIFS(Data_Long!$A$6:$A$243,I$5,Data_Long!$B$6:$B$243,$A49,Data_Long!$F$6:$F$243,"DERIVED")&gt;0,"DERIVED","FACT"))</f>
        <v>DERIVED</v>
      </c>
      <c r="J49" s="17" t="str">
        <f aca="false">IF(COUNTIFS(Data_Long!$A$6:$A$243,J$5,Data_Long!$B$6:$B$243,$A49)=0,"not published",IF(COUNTIFS(Data_Long!$A$6:$A$243,J$5,Data_Long!$B$6:$B$243,$A49,Data_Long!$F$6:$F$243,"DERIVED")&gt;0,"DERIVED","FACT"))</f>
        <v>FACT</v>
      </c>
    </row>
    <row r="50" customFormat="false" ht="15" hidden="false" customHeight="false" outlineLevel="0" collapsed="false">
      <c r="A50" s="6" t="s">
        <v>87</v>
      </c>
      <c r="B50" s="6" t="s">
        <v>88</v>
      </c>
      <c r="D50" s="17" t="str">
        <f aca="false">IF(COUNTIFS(Data_Long!$A$6:$A$243,D$5,Data_Long!$B$6:$B$243,$A50)=0,"not published",IF(COUNTIFS(Data_Long!$A$6:$A$243,D$5,Data_Long!$B$6:$B$243,$A50,Data_Long!$F$6:$F$243,"DERIVED")&gt;0,"DERIVED","FACT"))</f>
        <v>FACT</v>
      </c>
      <c r="E50" s="17" t="str">
        <f aca="false">IF(COUNTIFS(Data_Long!$A$6:$A$243,E$5,Data_Long!$B$6:$B$243,$A50)=0,"not published",IF(COUNTIFS(Data_Long!$A$6:$A$243,E$5,Data_Long!$B$6:$B$243,$A50,Data_Long!$F$6:$F$243,"DERIVED")&gt;0,"DERIVED","FACT"))</f>
        <v>DERIVED</v>
      </c>
      <c r="F50" s="17" t="str">
        <f aca="false">IF(COUNTIFS(Data_Long!$A$6:$A$243,F$5,Data_Long!$B$6:$B$243,$A50)=0,"not published",IF(COUNTIFS(Data_Long!$A$6:$A$243,F$5,Data_Long!$B$6:$B$243,$A50,Data_Long!$F$6:$F$243,"DERIVED")&gt;0,"DERIVED","FACT"))</f>
        <v>FACT</v>
      </c>
      <c r="G50" s="17" t="str">
        <f aca="false">IF(COUNTIFS(Data_Long!$A$6:$A$243,G$5,Data_Long!$B$6:$B$243,$A50)=0,"not published",IF(COUNTIFS(Data_Long!$A$6:$A$243,G$5,Data_Long!$B$6:$B$243,$A50,Data_Long!$F$6:$F$243,"DERIVED")&gt;0,"DERIVED","FACT"))</f>
        <v>DERIVED</v>
      </c>
      <c r="H50" s="17" t="str">
        <f aca="false">IF(COUNTIFS(Data_Long!$A$6:$A$243,H$5,Data_Long!$B$6:$B$243,$A50)=0,"not published",IF(COUNTIFS(Data_Long!$A$6:$A$243,H$5,Data_Long!$B$6:$B$243,$A50,Data_Long!$F$6:$F$243,"DERIVED")&gt;0,"DERIVED","FACT"))</f>
        <v>FACT</v>
      </c>
      <c r="I50" s="17" t="str">
        <f aca="false">IF(COUNTIFS(Data_Long!$A$6:$A$243,I$5,Data_Long!$B$6:$B$243,$A50)=0,"not published",IF(COUNTIFS(Data_Long!$A$6:$A$243,I$5,Data_Long!$B$6:$B$243,$A50,Data_Long!$F$6:$F$243,"DERIVED")&gt;0,"DERIVED","FACT"))</f>
        <v>DERIVED</v>
      </c>
      <c r="J50" s="17" t="str">
        <f aca="false">IF(COUNTIFS(Data_Long!$A$6:$A$243,J$5,Data_Long!$B$6:$B$243,$A50)=0,"not published",IF(COUNTIFS(Data_Long!$A$6:$A$243,J$5,Data_Long!$B$6:$B$243,$A50,Data_Long!$F$6:$F$243,"DERIVED")&gt;0,"DERIVED","FACT"))</f>
        <v>FACT</v>
      </c>
    </row>
    <row r="51" customFormat="false" ht="15" hidden="false" customHeight="false" outlineLevel="0" collapsed="false">
      <c r="A51" s="6" t="s">
        <v>89</v>
      </c>
      <c r="B51" s="6" t="s">
        <v>90</v>
      </c>
      <c r="D51" s="17" t="str">
        <f aca="false">IF(COUNTIFS(Data_Long!$A$6:$A$243,D$5,Data_Long!$B$6:$B$243,$A51)=0,"not published",IF(COUNTIFS(Data_Long!$A$6:$A$243,D$5,Data_Long!$B$6:$B$243,$A51,Data_Long!$F$6:$F$243,"DERIVED")&gt;0,"DERIVED","FACT"))</f>
        <v>FACT</v>
      </c>
      <c r="E51" s="17" t="str">
        <f aca="false">IF(COUNTIFS(Data_Long!$A$6:$A$243,E$5,Data_Long!$B$6:$B$243,$A51)=0,"not published",IF(COUNTIFS(Data_Long!$A$6:$A$243,E$5,Data_Long!$B$6:$B$243,$A51,Data_Long!$F$6:$F$243,"DERIVED")&gt;0,"DERIVED","FACT"))</f>
        <v>DERIVED</v>
      </c>
      <c r="F51" s="17" t="str">
        <f aca="false">IF(COUNTIFS(Data_Long!$A$6:$A$243,F$5,Data_Long!$B$6:$B$243,$A51)=0,"not published",IF(COUNTIFS(Data_Long!$A$6:$A$243,F$5,Data_Long!$B$6:$B$243,$A51,Data_Long!$F$6:$F$243,"DERIVED")&gt;0,"DERIVED","FACT"))</f>
        <v>FACT</v>
      </c>
      <c r="G51" s="17" t="str">
        <f aca="false">IF(COUNTIFS(Data_Long!$A$6:$A$243,G$5,Data_Long!$B$6:$B$243,$A51)=0,"not published",IF(COUNTIFS(Data_Long!$A$6:$A$243,G$5,Data_Long!$B$6:$B$243,$A51,Data_Long!$F$6:$F$243,"DERIVED")&gt;0,"DERIVED","FACT"))</f>
        <v>DERIVED</v>
      </c>
      <c r="H51" s="17" t="str">
        <f aca="false">IF(COUNTIFS(Data_Long!$A$6:$A$243,H$5,Data_Long!$B$6:$B$243,$A51)=0,"not published",IF(COUNTIFS(Data_Long!$A$6:$A$243,H$5,Data_Long!$B$6:$B$243,$A51,Data_Long!$F$6:$F$243,"DERIVED")&gt;0,"DERIVED","FACT"))</f>
        <v>FACT</v>
      </c>
      <c r="I51" s="17" t="str">
        <f aca="false">IF(COUNTIFS(Data_Long!$A$6:$A$243,I$5,Data_Long!$B$6:$B$243,$A51)=0,"not published",IF(COUNTIFS(Data_Long!$A$6:$A$243,I$5,Data_Long!$B$6:$B$243,$A51,Data_Long!$F$6:$F$243,"DERIVED")&gt;0,"DERIVED","FACT"))</f>
        <v>DERIVED</v>
      </c>
      <c r="J51" s="17" t="str">
        <f aca="false">IF(COUNTIFS(Data_Long!$A$6:$A$243,J$5,Data_Long!$B$6:$B$243,$A51)=0,"not published",IF(COUNTIFS(Data_Long!$A$6:$A$243,J$5,Data_Long!$B$6:$B$243,$A51,Data_Long!$F$6:$F$243,"DERIVED")&gt;0,"DERIVED","FACT"))</f>
        <v>FACT</v>
      </c>
    </row>
    <row r="52" customFormat="false" ht="15" hidden="false" customHeight="false" outlineLevel="0" collapsed="false">
      <c r="A52" s="6" t="s">
        <v>91</v>
      </c>
      <c r="B52" s="6" t="s">
        <v>92</v>
      </c>
      <c r="D52" s="17" t="str">
        <f aca="false">IF(COUNTIFS(Data_Long!$A$6:$A$243,D$5,Data_Long!$B$6:$B$243,$A52)=0,"not published",IF(COUNTIFS(Data_Long!$A$6:$A$243,D$5,Data_Long!$B$6:$B$243,$A52,Data_Long!$F$6:$F$243,"DERIVED")&gt;0,"DERIVED","FACT"))</f>
        <v>FACT</v>
      </c>
      <c r="E52" s="17" t="str">
        <f aca="false">IF(COUNTIFS(Data_Long!$A$6:$A$243,E$5,Data_Long!$B$6:$B$243,$A52)=0,"not published",IF(COUNTIFS(Data_Long!$A$6:$A$243,E$5,Data_Long!$B$6:$B$243,$A52,Data_Long!$F$6:$F$243,"DERIVED")&gt;0,"DERIVED","FACT"))</f>
        <v>DERIVED</v>
      </c>
      <c r="F52" s="17" t="str">
        <f aca="false">IF(COUNTIFS(Data_Long!$A$6:$A$243,F$5,Data_Long!$B$6:$B$243,$A52)=0,"not published",IF(COUNTIFS(Data_Long!$A$6:$A$243,F$5,Data_Long!$B$6:$B$243,$A52,Data_Long!$F$6:$F$243,"DERIVED")&gt;0,"DERIVED","FACT"))</f>
        <v>FACT</v>
      </c>
      <c r="G52" s="17" t="str">
        <f aca="false">IF(COUNTIFS(Data_Long!$A$6:$A$243,G$5,Data_Long!$B$6:$B$243,$A52)=0,"not published",IF(COUNTIFS(Data_Long!$A$6:$A$243,G$5,Data_Long!$B$6:$B$243,$A52,Data_Long!$F$6:$F$243,"DERIVED")&gt;0,"DERIVED","FACT"))</f>
        <v>DERIVED</v>
      </c>
      <c r="H52" s="17" t="str">
        <f aca="false">IF(COUNTIFS(Data_Long!$A$6:$A$243,H$5,Data_Long!$B$6:$B$243,$A52)=0,"not published",IF(COUNTIFS(Data_Long!$A$6:$A$243,H$5,Data_Long!$B$6:$B$243,$A52,Data_Long!$F$6:$F$243,"DERIVED")&gt;0,"DERIVED","FACT"))</f>
        <v>FACT</v>
      </c>
      <c r="I52" s="17" t="str">
        <f aca="false">IF(COUNTIFS(Data_Long!$A$6:$A$243,I$5,Data_Long!$B$6:$B$243,$A52)=0,"not published",IF(COUNTIFS(Data_Long!$A$6:$A$243,I$5,Data_Long!$B$6:$B$243,$A52,Data_Long!$F$6:$F$243,"DERIVED")&gt;0,"DERIVED","FACT"))</f>
        <v>DERIVED</v>
      </c>
      <c r="J52" s="17" t="str">
        <f aca="false">IF(COUNTIFS(Data_Long!$A$6:$A$243,J$5,Data_Long!$B$6:$B$243,$A52)=0,"not published",IF(COUNTIFS(Data_Long!$A$6:$A$243,J$5,Data_Long!$B$6:$B$243,$A52,Data_Long!$F$6:$F$243,"DERIVED")&gt;0,"DERIVED","FACT"))</f>
        <v>FACT</v>
      </c>
    </row>
    <row r="53" customFormat="false" ht="15" hidden="false" customHeight="false" outlineLevel="0" collapsed="false">
      <c r="A53" s="6" t="s">
        <v>93</v>
      </c>
      <c r="B53" s="6" t="s">
        <v>94</v>
      </c>
      <c r="D53" s="17" t="str">
        <f aca="false">IF(COUNTIFS(Data_Long!$A$6:$A$243,D$5,Data_Long!$B$6:$B$243,$A53)=0,"not published",IF(COUNTIFS(Data_Long!$A$6:$A$243,D$5,Data_Long!$B$6:$B$243,$A53,Data_Long!$F$6:$F$243,"DERIVED")&gt;0,"DERIVED","FACT"))</f>
        <v>FACT</v>
      </c>
      <c r="E53" s="17" t="str">
        <f aca="false">IF(COUNTIFS(Data_Long!$A$6:$A$243,E$5,Data_Long!$B$6:$B$243,$A53)=0,"not published",IF(COUNTIFS(Data_Long!$A$6:$A$243,E$5,Data_Long!$B$6:$B$243,$A53,Data_Long!$F$6:$F$243,"DERIVED")&gt;0,"DERIVED","FACT"))</f>
        <v>DERIVED</v>
      </c>
      <c r="F53" s="17" t="str">
        <f aca="false">IF(COUNTIFS(Data_Long!$A$6:$A$243,F$5,Data_Long!$B$6:$B$243,$A53)=0,"not published",IF(COUNTIFS(Data_Long!$A$6:$A$243,F$5,Data_Long!$B$6:$B$243,$A53,Data_Long!$F$6:$F$243,"DERIVED")&gt;0,"DERIVED","FACT"))</f>
        <v>FACT</v>
      </c>
      <c r="G53" s="17" t="str">
        <f aca="false">IF(COUNTIFS(Data_Long!$A$6:$A$243,G$5,Data_Long!$B$6:$B$243,$A53)=0,"not published",IF(COUNTIFS(Data_Long!$A$6:$A$243,G$5,Data_Long!$B$6:$B$243,$A53,Data_Long!$F$6:$F$243,"DERIVED")&gt;0,"DERIVED","FACT"))</f>
        <v>DERIVED</v>
      </c>
      <c r="H53" s="17" t="str">
        <f aca="false">IF(COUNTIFS(Data_Long!$A$6:$A$243,H$5,Data_Long!$B$6:$B$243,$A53)=0,"not published",IF(COUNTIFS(Data_Long!$A$6:$A$243,H$5,Data_Long!$B$6:$B$243,$A53,Data_Long!$F$6:$F$243,"DERIVED")&gt;0,"DERIVED","FACT"))</f>
        <v>FACT</v>
      </c>
      <c r="I53" s="17" t="str">
        <f aca="false">IF(COUNTIFS(Data_Long!$A$6:$A$243,I$5,Data_Long!$B$6:$B$243,$A53)=0,"not published",IF(COUNTIFS(Data_Long!$A$6:$A$243,I$5,Data_Long!$B$6:$B$243,$A53,Data_Long!$F$6:$F$243,"DERIVED")&gt;0,"DERIVED","FACT"))</f>
        <v>DERIVED</v>
      </c>
      <c r="J53" s="17" t="str">
        <f aca="false">IF(COUNTIFS(Data_Long!$A$6:$A$243,J$5,Data_Long!$B$6:$B$243,$A53)=0,"not published",IF(COUNTIFS(Data_Long!$A$6:$A$243,J$5,Data_Long!$B$6:$B$243,$A53,Data_Long!$F$6:$F$243,"DERIVED")&gt;0,"DERIVED","FACT"))</f>
        <v>FACT</v>
      </c>
    </row>
    <row r="54" customFormat="false" ht="15" hidden="false" customHeight="false" outlineLevel="0" collapsed="false">
      <c r="A54" s="6" t="s">
        <v>95</v>
      </c>
      <c r="B54" s="6" t="s">
        <v>96</v>
      </c>
      <c r="D54" s="17" t="str">
        <f aca="false">IF(COUNTIFS(Data_Long!$A$6:$A$243,D$5,Data_Long!$B$6:$B$243,$A54)=0,"not published",IF(COUNTIFS(Data_Long!$A$6:$A$243,D$5,Data_Long!$B$6:$B$243,$A54,Data_Long!$F$6:$F$243,"DERIVED")&gt;0,"DERIVED","FACT"))</f>
        <v>FACT</v>
      </c>
      <c r="E54" s="17" t="str">
        <f aca="false">IF(COUNTIFS(Data_Long!$A$6:$A$243,E$5,Data_Long!$B$6:$B$243,$A54)=0,"not published",IF(COUNTIFS(Data_Long!$A$6:$A$243,E$5,Data_Long!$B$6:$B$243,$A54,Data_Long!$F$6:$F$243,"DERIVED")&gt;0,"DERIVED","FACT"))</f>
        <v>DERIVED</v>
      </c>
      <c r="F54" s="17" t="str">
        <f aca="false">IF(COUNTIFS(Data_Long!$A$6:$A$243,F$5,Data_Long!$B$6:$B$243,$A54)=0,"not published",IF(COUNTIFS(Data_Long!$A$6:$A$243,F$5,Data_Long!$B$6:$B$243,$A54,Data_Long!$F$6:$F$243,"DERIVED")&gt;0,"DERIVED","FACT"))</f>
        <v>FACT</v>
      </c>
      <c r="G54" s="17" t="str">
        <f aca="false">IF(COUNTIFS(Data_Long!$A$6:$A$243,G$5,Data_Long!$B$6:$B$243,$A54)=0,"not published",IF(COUNTIFS(Data_Long!$A$6:$A$243,G$5,Data_Long!$B$6:$B$243,$A54,Data_Long!$F$6:$F$243,"DERIVED")&gt;0,"DERIVED","FACT"))</f>
        <v>DERIVED</v>
      </c>
      <c r="H54" s="17" t="str">
        <f aca="false">IF(COUNTIFS(Data_Long!$A$6:$A$243,H$5,Data_Long!$B$6:$B$243,$A54)=0,"not published",IF(COUNTIFS(Data_Long!$A$6:$A$243,H$5,Data_Long!$B$6:$B$243,$A54,Data_Long!$F$6:$F$243,"DERIVED")&gt;0,"DERIVED","FACT"))</f>
        <v>FACT</v>
      </c>
      <c r="I54" s="17" t="str">
        <f aca="false">IF(COUNTIFS(Data_Long!$A$6:$A$243,I$5,Data_Long!$B$6:$B$243,$A54)=0,"not published",IF(COUNTIFS(Data_Long!$A$6:$A$243,I$5,Data_Long!$B$6:$B$243,$A54,Data_Long!$F$6:$F$243,"DERIVED")&gt;0,"DERIVED","FACT"))</f>
        <v>DERIVED</v>
      </c>
      <c r="J54" s="17" t="str">
        <f aca="false">IF(COUNTIFS(Data_Long!$A$6:$A$243,J$5,Data_Long!$B$6:$B$243,$A54)=0,"not published",IF(COUNTIFS(Data_Long!$A$6:$A$243,J$5,Data_Long!$B$6:$B$243,$A54,Data_Long!$F$6:$F$243,"DERIVED")&gt;0,"DERIVED","FACT"))</f>
        <v>FACT</v>
      </c>
    </row>
    <row r="55" customFormat="false" ht="15" hidden="false" customHeight="false" outlineLevel="0" collapsed="false">
      <c r="A55" s="6" t="s">
        <v>97</v>
      </c>
      <c r="B55" s="6" t="s">
        <v>98</v>
      </c>
      <c r="D55" s="17" t="str">
        <f aca="false">IF(COUNTIFS(Data_Long!$A$6:$A$243,D$5,Data_Long!$B$6:$B$243,$A55)=0,"not published",IF(COUNTIFS(Data_Long!$A$6:$A$243,D$5,Data_Long!$B$6:$B$243,$A55,Data_Long!$F$6:$F$243,"DERIVED")&gt;0,"DERIVED","FACT"))</f>
        <v>FACT</v>
      </c>
      <c r="E55" s="17" t="str">
        <f aca="false">IF(COUNTIFS(Data_Long!$A$6:$A$243,E$5,Data_Long!$B$6:$B$243,$A55)=0,"not published",IF(COUNTIFS(Data_Long!$A$6:$A$243,E$5,Data_Long!$B$6:$B$243,$A55,Data_Long!$F$6:$F$243,"DERIVED")&gt;0,"DERIVED","FACT"))</f>
        <v>DERIVED</v>
      </c>
      <c r="F55" s="17" t="str">
        <f aca="false">IF(COUNTIFS(Data_Long!$A$6:$A$243,F$5,Data_Long!$B$6:$B$243,$A55)=0,"not published",IF(COUNTIFS(Data_Long!$A$6:$A$243,F$5,Data_Long!$B$6:$B$243,$A55,Data_Long!$F$6:$F$243,"DERIVED")&gt;0,"DERIVED","FACT"))</f>
        <v>FACT</v>
      </c>
      <c r="G55" s="17" t="str">
        <f aca="false">IF(COUNTIFS(Data_Long!$A$6:$A$243,G$5,Data_Long!$B$6:$B$243,$A55)=0,"not published",IF(COUNTIFS(Data_Long!$A$6:$A$243,G$5,Data_Long!$B$6:$B$243,$A55,Data_Long!$F$6:$F$243,"DERIVED")&gt;0,"DERIVED","FACT"))</f>
        <v>DERIVED</v>
      </c>
      <c r="H55" s="17" t="str">
        <f aca="false">IF(COUNTIFS(Data_Long!$A$6:$A$243,H$5,Data_Long!$B$6:$B$243,$A55)=0,"not published",IF(COUNTIFS(Data_Long!$A$6:$A$243,H$5,Data_Long!$B$6:$B$243,$A55,Data_Long!$F$6:$F$243,"DERIVED")&gt;0,"DERIVED","FACT"))</f>
        <v>FACT</v>
      </c>
      <c r="I55" s="17" t="str">
        <f aca="false">IF(COUNTIFS(Data_Long!$A$6:$A$243,I$5,Data_Long!$B$6:$B$243,$A55)=0,"not published",IF(COUNTIFS(Data_Long!$A$6:$A$243,I$5,Data_Long!$B$6:$B$243,$A55,Data_Long!$F$6:$F$243,"DERIVED")&gt;0,"DERIVED","FACT"))</f>
        <v>DERIVED</v>
      </c>
      <c r="J55" s="17" t="str">
        <f aca="false">IF(COUNTIFS(Data_Long!$A$6:$A$243,J$5,Data_Long!$B$6:$B$243,$A55)=0,"not published",IF(COUNTIFS(Data_Long!$A$6:$A$243,J$5,Data_Long!$B$6:$B$243,$A55,Data_Long!$F$6:$F$243,"DERIVED")&gt;0,"DERIVED","FACT"))</f>
        <v>FACT</v>
      </c>
    </row>
    <row r="56" customFormat="false" ht="15" hidden="false" customHeight="false" outlineLevel="0" collapsed="false">
      <c r="A56" s="6" t="s">
        <v>100</v>
      </c>
      <c r="B56" s="6" t="s">
        <v>101</v>
      </c>
      <c r="D56" s="17" t="str">
        <f aca="false">IF(COUNTIFS(Data_Long!$A$6:$A$243,D$5,Data_Long!$B$6:$B$243,$A56)=0,"not published",IF(COUNTIFS(Data_Long!$A$6:$A$243,D$5,Data_Long!$B$6:$B$243,$A56,Data_Long!$F$6:$F$243,"DERIVED")&gt;0,"DERIVED","FACT"))</f>
        <v>FACT</v>
      </c>
      <c r="E56" s="17" t="str">
        <f aca="false">IF(COUNTIFS(Data_Long!$A$6:$A$243,E$5,Data_Long!$B$6:$B$243,$A56)=0,"not published",IF(COUNTIFS(Data_Long!$A$6:$A$243,E$5,Data_Long!$B$6:$B$243,$A56,Data_Long!$F$6:$F$243,"DERIVED")&gt;0,"DERIVED","FACT"))</f>
        <v>DERIVED</v>
      </c>
      <c r="F56" s="17" t="str">
        <f aca="false">IF(COUNTIFS(Data_Long!$A$6:$A$243,F$5,Data_Long!$B$6:$B$243,$A56)=0,"not published",IF(COUNTIFS(Data_Long!$A$6:$A$243,F$5,Data_Long!$B$6:$B$243,$A56,Data_Long!$F$6:$F$243,"DERIVED")&gt;0,"DERIVED","FACT"))</f>
        <v>FACT</v>
      </c>
      <c r="G56" s="17" t="str">
        <f aca="false">IF(COUNTIFS(Data_Long!$A$6:$A$243,G$5,Data_Long!$B$6:$B$243,$A56)=0,"not published",IF(COUNTIFS(Data_Long!$A$6:$A$243,G$5,Data_Long!$B$6:$B$243,$A56,Data_Long!$F$6:$F$243,"DERIVED")&gt;0,"DERIVED","FACT"))</f>
        <v>DERIVED</v>
      </c>
      <c r="H56" s="17" t="str">
        <f aca="false">IF(COUNTIFS(Data_Long!$A$6:$A$243,H$5,Data_Long!$B$6:$B$243,$A56)=0,"not published",IF(COUNTIFS(Data_Long!$A$6:$A$243,H$5,Data_Long!$B$6:$B$243,$A56,Data_Long!$F$6:$F$243,"DERIVED")&gt;0,"DERIVED","FACT"))</f>
        <v>FACT</v>
      </c>
      <c r="I56" s="17" t="str">
        <f aca="false">IF(COUNTIFS(Data_Long!$A$6:$A$243,I$5,Data_Long!$B$6:$B$243,$A56)=0,"not published",IF(COUNTIFS(Data_Long!$A$6:$A$243,I$5,Data_Long!$B$6:$B$243,$A56,Data_Long!$F$6:$F$243,"DERIVED")&gt;0,"DERIVED","FACT"))</f>
        <v>DERIVED</v>
      </c>
      <c r="J56" s="17" t="str">
        <f aca="false">IF(COUNTIFS(Data_Long!$A$6:$A$243,J$5,Data_Long!$B$6:$B$243,$A56)=0,"not published",IF(COUNTIFS(Data_Long!$A$6:$A$243,J$5,Data_Long!$B$6:$B$243,$A56,Data_Long!$F$6:$F$243,"DERIVED")&gt;0,"DERIVED","FACT"))</f>
        <v>FACT</v>
      </c>
    </row>
    <row r="57" customFormat="false" ht="15" hidden="false" customHeight="false" outlineLevel="0" collapsed="false">
      <c r="A57" s="6" t="s">
        <v>102</v>
      </c>
      <c r="B57" s="6" t="s">
        <v>103</v>
      </c>
      <c r="D57" s="17" t="str">
        <f aca="false">IF(COUNTIFS(Data_Long!$A$6:$A$243,D$5,Data_Long!$B$6:$B$243,$A57)=0,"not published",IF(COUNTIFS(Data_Long!$A$6:$A$243,D$5,Data_Long!$B$6:$B$243,$A57,Data_Long!$F$6:$F$243,"DERIVED")&gt;0,"DERIVED","FACT"))</f>
        <v>FACT</v>
      </c>
      <c r="E57" s="17" t="str">
        <f aca="false">IF(COUNTIFS(Data_Long!$A$6:$A$243,E$5,Data_Long!$B$6:$B$243,$A57)=0,"not published",IF(COUNTIFS(Data_Long!$A$6:$A$243,E$5,Data_Long!$B$6:$B$243,$A57,Data_Long!$F$6:$F$243,"DERIVED")&gt;0,"DERIVED","FACT"))</f>
        <v>DERIVED</v>
      </c>
      <c r="F57" s="17" t="str">
        <f aca="false">IF(COUNTIFS(Data_Long!$A$6:$A$243,F$5,Data_Long!$B$6:$B$243,$A57)=0,"not published",IF(COUNTIFS(Data_Long!$A$6:$A$243,F$5,Data_Long!$B$6:$B$243,$A57,Data_Long!$F$6:$F$243,"DERIVED")&gt;0,"DERIVED","FACT"))</f>
        <v>FACT</v>
      </c>
      <c r="G57" s="17" t="str">
        <f aca="false">IF(COUNTIFS(Data_Long!$A$6:$A$243,G$5,Data_Long!$B$6:$B$243,$A57)=0,"not published",IF(COUNTIFS(Data_Long!$A$6:$A$243,G$5,Data_Long!$B$6:$B$243,$A57,Data_Long!$F$6:$F$243,"DERIVED")&gt;0,"DERIVED","FACT"))</f>
        <v>DERIVED</v>
      </c>
      <c r="H57" s="17" t="str">
        <f aca="false">IF(COUNTIFS(Data_Long!$A$6:$A$243,H$5,Data_Long!$B$6:$B$243,$A57)=0,"not published",IF(COUNTIFS(Data_Long!$A$6:$A$243,H$5,Data_Long!$B$6:$B$243,$A57,Data_Long!$F$6:$F$243,"DERIVED")&gt;0,"DERIVED","FACT"))</f>
        <v>FACT</v>
      </c>
      <c r="I57" s="17" t="str">
        <f aca="false">IF(COUNTIFS(Data_Long!$A$6:$A$243,I$5,Data_Long!$B$6:$B$243,$A57)=0,"not published",IF(COUNTIFS(Data_Long!$A$6:$A$243,I$5,Data_Long!$B$6:$B$243,$A57,Data_Long!$F$6:$F$243,"DERIVED")&gt;0,"DERIVED","FACT"))</f>
        <v>DERIVED</v>
      </c>
      <c r="J57" s="17" t="str">
        <f aca="false">IF(COUNTIFS(Data_Long!$A$6:$A$243,J$5,Data_Long!$B$6:$B$243,$A57)=0,"not published",IF(COUNTIFS(Data_Long!$A$6:$A$243,J$5,Data_Long!$B$6:$B$243,$A57,Data_Long!$F$6:$F$243,"DERIVED")&gt;0,"DERIVED","FACT"))</f>
        <v>FACT</v>
      </c>
    </row>
    <row r="58" customFormat="false" ht="15" hidden="false" customHeight="false" outlineLevel="0" collapsed="false">
      <c r="A58" s="6" t="s">
        <v>104</v>
      </c>
      <c r="B58" s="6" t="s">
        <v>105</v>
      </c>
      <c r="D58" s="17" t="str">
        <f aca="false">IF(COUNTIFS(Data_Long!$A$6:$A$243,D$5,Data_Long!$B$6:$B$243,$A58)=0,"not published",IF(COUNTIFS(Data_Long!$A$6:$A$243,D$5,Data_Long!$B$6:$B$243,$A58,Data_Long!$F$6:$F$243,"DERIVED")&gt;0,"DERIVED","FACT"))</f>
        <v>FACT</v>
      </c>
      <c r="E58" s="17" t="str">
        <f aca="false">IF(COUNTIFS(Data_Long!$A$6:$A$243,E$5,Data_Long!$B$6:$B$243,$A58)=0,"not published",IF(COUNTIFS(Data_Long!$A$6:$A$243,E$5,Data_Long!$B$6:$B$243,$A58,Data_Long!$F$6:$F$243,"DERIVED")&gt;0,"DERIVED","FACT"))</f>
        <v>not published</v>
      </c>
      <c r="F58" s="17" t="str">
        <f aca="false">IF(COUNTIFS(Data_Long!$A$6:$A$243,F$5,Data_Long!$B$6:$B$243,$A58)=0,"not published",IF(COUNTIFS(Data_Long!$A$6:$A$243,F$5,Data_Long!$B$6:$B$243,$A58,Data_Long!$F$6:$F$243,"DERIVED")&gt;0,"DERIVED","FACT"))</f>
        <v>FACT</v>
      </c>
      <c r="G58" s="17" t="str">
        <f aca="false">IF(COUNTIFS(Data_Long!$A$6:$A$243,G$5,Data_Long!$B$6:$B$243,$A58)=0,"not published",IF(COUNTIFS(Data_Long!$A$6:$A$243,G$5,Data_Long!$B$6:$B$243,$A58,Data_Long!$F$6:$F$243,"DERIVED")&gt;0,"DERIVED","FACT"))</f>
        <v>not published</v>
      </c>
      <c r="H58" s="17" t="str">
        <f aca="false">IF(COUNTIFS(Data_Long!$A$6:$A$243,H$5,Data_Long!$B$6:$B$243,$A58)=0,"not published",IF(COUNTIFS(Data_Long!$A$6:$A$243,H$5,Data_Long!$B$6:$B$243,$A58,Data_Long!$F$6:$F$243,"DERIVED")&gt;0,"DERIVED","FACT"))</f>
        <v>FACT</v>
      </c>
      <c r="I58" s="17" t="str">
        <f aca="false">IF(COUNTIFS(Data_Long!$A$6:$A$243,I$5,Data_Long!$B$6:$B$243,$A58)=0,"not published",IF(COUNTIFS(Data_Long!$A$6:$A$243,I$5,Data_Long!$B$6:$B$243,$A58,Data_Long!$F$6:$F$243,"DERIVED")&gt;0,"DERIVED","FACT"))</f>
        <v>not published</v>
      </c>
      <c r="J58" s="17" t="str">
        <f aca="false">IF(COUNTIFS(Data_Long!$A$6:$A$243,J$5,Data_Long!$B$6:$B$243,$A58)=0,"not published",IF(COUNTIFS(Data_Long!$A$6:$A$243,J$5,Data_Long!$B$6:$B$243,$A58,Data_Long!$F$6:$F$243,"DERIVED")&gt;0,"DERIVED","FACT"))</f>
        <v>FACT</v>
      </c>
    </row>
    <row r="59" customFormat="false" ht="15" hidden="false" customHeight="false" outlineLevel="0" collapsed="false">
      <c r="A59" s="6" t="s">
        <v>108</v>
      </c>
      <c r="B59" s="6" t="s">
        <v>109</v>
      </c>
      <c r="D59" s="17" t="str">
        <f aca="false">IF(COUNTIFS(Data_Long!$A$6:$A$243,D$5,Data_Long!$B$6:$B$243,$A59)=0,"not published",IF(COUNTIFS(Data_Long!$A$6:$A$243,D$5,Data_Long!$B$6:$B$243,$A59,Data_Long!$F$6:$F$243,"DERIVED")&gt;0,"DERIVED","FACT"))</f>
        <v>FACT</v>
      </c>
      <c r="E59" s="17" t="str">
        <f aca="false">IF(COUNTIFS(Data_Long!$A$6:$A$243,E$5,Data_Long!$B$6:$B$243,$A59)=0,"not published",IF(COUNTIFS(Data_Long!$A$6:$A$243,E$5,Data_Long!$B$6:$B$243,$A59,Data_Long!$F$6:$F$243,"DERIVED")&gt;0,"DERIVED","FACT"))</f>
        <v>DERIVED</v>
      </c>
      <c r="F59" s="17" t="str">
        <f aca="false">IF(COUNTIFS(Data_Long!$A$6:$A$243,F$5,Data_Long!$B$6:$B$243,$A59)=0,"not published",IF(COUNTIFS(Data_Long!$A$6:$A$243,F$5,Data_Long!$B$6:$B$243,$A59,Data_Long!$F$6:$F$243,"DERIVED")&gt;0,"DERIVED","FACT"))</f>
        <v>FACT</v>
      </c>
      <c r="G59" s="17" t="str">
        <f aca="false">IF(COUNTIFS(Data_Long!$A$6:$A$243,G$5,Data_Long!$B$6:$B$243,$A59)=0,"not published",IF(COUNTIFS(Data_Long!$A$6:$A$243,G$5,Data_Long!$B$6:$B$243,$A59,Data_Long!$F$6:$F$243,"DERIVED")&gt;0,"DERIVED","FACT"))</f>
        <v>DERIVED</v>
      </c>
      <c r="H59" s="17" t="str">
        <f aca="false">IF(COUNTIFS(Data_Long!$A$6:$A$243,H$5,Data_Long!$B$6:$B$243,$A59)=0,"not published",IF(COUNTIFS(Data_Long!$A$6:$A$243,H$5,Data_Long!$B$6:$B$243,$A59,Data_Long!$F$6:$F$243,"DERIVED")&gt;0,"DERIVED","FACT"))</f>
        <v>FACT</v>
      </c>
      <c r="I59" s="17" t="str">
        <f aca="false">IF(COUNTIFS(Data_Long!$A$6:$A$243,I$5,Data_Long!$B$6:$B$243,$A59)=0,"not published",IF(COUNTIFS(Data_Long!$A$6:$A$243,I$5,Data_Long!$B$6:$B$243,$A59,Data_Long!$F$6:$F$243,"DERIVED")&gt;0,"DERIVED","FACT"))</f>
        <v>DERIVED</v>
      </c>
      <c r="J59" s="17" t="str">
        <f aca="false">IF(COUNTIFS(Data_Long!$A$6:$A$243,J$5,Data_Long!$B$6:$B$243,$A59)=0,"not published",IF(COUNTIFS(Data_Long!$A$6:$A$243,J$5,Data_Long!$B$6:$B$243,$A59,Data_Long!$F$6:$F$243,"DERIVED")&gt;0,"DERIVED","FACT"))</f>
        <v>FACT</v>
      </c>
    </row>
    <row r="60" customFormat="false" ht="15" hidden="false" customHeight="false" outlineLevel="0" collapsed="false">
      <c r="A60" s="6" t="s">
        <v>111</v>
      </c>
      <c r="B60" s="6" t="s">
        <v>112</v>
      </c>
      <c r="D60" s="17" t="str">
        <f aca="false">IF(COUNTIFS(Data_Long!$A$6:$A$243,D$5,Data_Long!$B$6:$B$243,$A60)=0,"not published",IF(COUNTIFS(Data_Long!$A$6:$A$243,D$5,Data_Long!$B$6:$B$243,$A60,Data_Long!$F$6:$F$243,"DERIVED")&gt;0,"DERIVED","FACT"))</f>
        <v>FACT</v>
      </c>
      <c r="E60" s="17" t="str">
        <f aca="false">IF(COUNTIFS(Data_Long!$A$6:$A$243,E$5,Data_Long!$B$6:$B$243,$A60)=0,"not published",IF(COUNTIFS(Data_Long!$A$6:$A$243,E$5,Data_Long!$B$6:$B$243,$A60,Data_Long!$F$6:$F$243,"DERIVED")&gt;0,"DERIVED","FACT"))</f>
        <v>DERIVED</v>
      </c>
      <c r="F60" s="17" t="str">
        <f aca="false">IF(COUNTIFS(Data_Long!$A$6:$A$243,F$5,Data_Long!$B$6:$B$243,$A60)=0,"not published",IF(COUNTIFS(Data_Long!$A$6:$A$243,F$5,Data_Long!$B$6:$B$243,$A60,Data_Long!$F$6:$F$243,"DERIVED")&gt;0,"DERIVED","FACT"))</f>
        <v>FACT</v>
      </c>
      <c r="G60" s="17" t="str">
        <f aca="false">IF(COUNTIFS(Data_Long!$A$6:$A$243,G$5,Data_Long!$B$6:$B$243,$A60)=0,"not published",IF(COUNTIFS(Data_Long!$A$6:$A$243,G$5,Data_Long!$B$6:$B$243,$A60,Data_Long!$F$6:$F$243,"DERIVED")&gt;0,"DERIVED","FACT"))</f>
        <v>DERIVED</v>
      </c>
      <c r="H60" s="17" t="str">
        <f aca="false">IF(COUNTIFS(Data_Long!$A$6:$A$243,H$5,Data_Long!$B$6:$B$243,$A60)=0,"not published",IF(COUNTIFS(Data_Long!$A$6:$A$243,H$5,Data_Long!$B$6:$B$243,$A60,Data_Long!$F$6:$F$243,"DERIVED")&gt;0,"DERIVED","FACT"))</f>
        <v>FACT</v>
      </c>
      <c r="I60" s="17" t="str">
        <f aca="false">IF(COUNTIFS(Data_Long!$A$6:$A$243,I$5,Data_Long!$B$6:$B$243,$A60)=0,"not published",IF(COUNTIFS(Data_Long!$A$6:$A$243,I$5,Data_Long!$B$6:$B$243,$A60,Data_Long!$F$6:$F$243,"DERIVED")&gt;0,"DERIVED","FACT"))</f>
        <v>DERIVED</v>
      </c>
      <c r="J60" s="17" t="str">
        <f aca="false">IF(COUNTIFS(Data_Long!$A$6:$A$243,J$5,Data_Long!$B$6:$B$243,$A60)=0,"not published",IF(COUNTIFS(Data_Long!$A$6:$A$243,J$5,Data_Long!$B$6:$B$243,$A60,Data_Long!$F$6:$F$243,"DERIVED")&gt;0,"DERIVED","FACT"))</f>
        <v>FACT</v>
      </c>
    </row>
    <row r="61" customFormat="false" ht="15" hidden="false" customHeight="false" outlineLevel="0" collapsed="false">
      <c r="A61" s="6" t="s">
        <v>113</v>
      </c>
      <c r="B61" s="6" t="s">
        <v>114</v>
      </c>
      <c r="D61" s="17" t="str">
        <f aca="false">IF(COUNTIFS(Data_Long!$A$6:$A$243,D$5,Data_Long!$B$6:$B$243,$A61)=0,"not published",IF(COUNTIFS(Data_Long!$A$6:$A$243,D$5,Data_Long!$B$6:$B$243,$A61,Data_Long!$F$6:$F$243,"DERIVED")&gt;0,"DERIVED","FACT"))</f>
        <v>FACT</v>
      </c>
      <c r="E61" s="17" t="str">
        <f aca="false">IF(COUNTIFS(Data_Long!$A$6:$A$243,E$5,Data_Long!$B$6:$B$243,$A61)=0,"not published",IF(COUNTIFS(Data_Long!$A$6:$A$243,E$5,Data_Long!$B$6:$B$243,$A61,Data_Long!$F$6:$F$243,"DERIVED")&gt;0,"DERIVED","FACT"))</f>
        <v>not published</v>
      </c>
      <c r="F61" s="17" t="str">
        <f aca="false">IF(COUNTIFS(Data_Long!$A$6:$A$243,F$5,Data_Long!$B$6:$B$243,$A61)=0,"not published",IF(COUNTIFS(Data_Long!$A$6:$A$243,F$5,Data_Long!$B$6:$B$243,$A61,Data_Long!$F$6:$F$243,"DERIVED")&gt;0,"DERIVED","FACT"))</f>
        <v>FACT</v>
      </c>
      <c r="G61" s="17" t="str">
        <f aca="false">IF(COUNTIFS(Data_Long!$A$6:$A$243,G$5,Data_Long!$B$6:$B$243,$A61)=0,"not published",IF(COUNTIFS(Data_Long!$A$6:$A$243,G$5,Data_Long!$B$6:$B$243,$A61,Data_Long!$F$6:$F$243,"DERIVED")&gt;0,"DERIVED","FACT"))</f>
        <v>not published</v>
      </c>
      <c r="H61" s="17" t="str">
        <f aca="false">IF(COUNTIFS(Data_Long!$A$6:$A$243,H$5,Data_Long!$B$6:$B$243,$A61)=0,"not published",IF(COUNTIFS(Data_Long!$A$6:$A$243,H$5,Data_Long!$B$6:$B$243,$A61,Data_Long!$F$6:$F$243,"DERIVED")&gt;0,"DERIVED","FACT"))</f>
        <v>FACT</v>
      </c>
      <c r="I61" s="17" t="str">
        <f aca="false">IF(COUNTIFS(Data_Long!$A$6:$A$243,I$5,Data_Long!$B$6:$B$243,$A61)=0,"not published",IF(COUNTIFS(Data_Long!$A$6:$A$243,I$5,Data_Long!$B$6:$B$243,$A61,Data_Long!$F$6:$F$243,"DERIVED")&gt;0,"DERIVED","FACT"))</f>
        <v>not published</v>
      </c>
      <c r="J61" s="17" t="str">
        <f aca="false">IF(COUNTIFS(Data_Long!$A$6:$A$243,J$5,Data_Long!$B$6:$B$243,$A61)=0,"not published",IF(COUNTIFS(Data_Long!$A$6:$A$243,J$5,Data_Long!$B$6:$B$243,$A61,Data_Long!$F$6:$F$243,"DERIVED")&gt;0,"DERIVED","FACT"))</f>
        <v>FACT</v>
      </c>
    </row>
    <row r="62" customFormat="false" ht="15" hidden="false" customHeight="false" outlineLevel="0" collapsed="false">
      <c r="A62" s="6" t="s">
        <v>116</v>
      </c>
      <c r="B62" s="6" t="s">
        <v>117</v>
      </c>
      <c r="D62" s="17" t="str">
        <f aca="false">IF(COUNTIFS(Data_Long!$A$6:$A$243,D$5,Data_Long!$B$6:$B$243,$A62)=0,"not published",IF(COUNTIFS(Data_Long!$A$6:$A$243,D$5,Data_Long!$B$6:$B$243,$A62,Data_Long!$F$6:$F$243,"DERIVED")&gt;0,"DERIVED","FACT"))</f>
        <v>FACT</v>
      </c>
      <c r="E62" s="17" t="str">
        <f aca="false">IF(COUNTIFS(Data_Long!$A$6:$A$243,E$5,Data_Long!$B$6:$B$243,$A62)=0,"not published",IF(COUNTIFS(Data_Long!$A$6:$A$243,E$5,Data_Long!$B$6:$B$243,$A62,Data_Long!$F$6:$F$243,"DERIVED")&gt;0,"DERIVED","FACT"))</f>
        <v>DERIVED</v>
      </c>
      <c r="F62" s="17" t="str">
        <f aca="false">IF(COUNTIFS(Data_Long!$A$6:$A$243,F$5,Data_Long!$B$6:$B$243,$A62)=0,"not published",IF(COUNTIFS(Data_Long!$A$6:$A$243,F$5,Data_Long!$B$6:$B$243,$A62,Data_Long!$F$6:$F$243,"DERIVED")&gt;0,"DERIVED","FACT"))</f>
        <v>FACT</v>
      </c>
      <c r="G62" s="17" t="str">
        <f aca="false">IF(COUNTIFS(Data_Long!$A$6:$A$243,G$5,Data_Long!$B$6:$B$243,$A62)=0,"not published",IF(COUNTIFS(Data_Long!$A$6:$A$243,G$5,Data_Long!$B$6:$B$243,$A62,Data_Long!$F$6:$F$243,"DERIVED")&gt;0,"DERIVED","FACT"))</f>
        <v>DERIVED</v>
      </c>
      <c r="H62" s="17" t="str">
        <f aca="false">IF(COUNTIFS(Data_Long!$A$6:$A$243,H$5,Data_Long!$B$6:$B$243,$A62)=0,"not published",IF(COUNTIFS(Data_Long!$A$6:$A$243,H$5,Data_Long!$B$6:$B$243,$A62,Data_Long!$F$6:$F$243,"DERIVED")&gt;0,"DERIVED","FACT"))</f>
        <v>FACT</v>
      </c>
      <c r="I62" s="17" t="str">
        <f aca="false">IF(COUNTIFS(Data_Long!$A$6:$A$243,I$5,Data_Long!$B$6:$B$243,$A62)=0,"not published",IF(COUNTIFS(Data_Long!$A$6:$A$243,I$5,Data_Long!$B$6:$B$243,$A62,Data_Long!$F$6:$F$243,"DERIVED")&gt;0,"DERIVED","FACT"))</f>
        <v>DERIVED</v>
      </c>
      <c r="J62" s="17" t="str">
        <f aca="false">IF(COUNTIFS(Data_Long!$A$6:$A$243,J$5,Data_Long!$B$6:$B$243,$A62)=0,"not published",IF(COUNTIFS(Data_Long!$A$6:$A$243,J$5,Data_Long!$B$6:$B$243,$A62,Data_Long!$F$6:$F$243,"DERIVED")&gt;0,"DERIVED","FACT"))</f>
        <v>FACT</v>
      </c>
    </row>
    <row r="63" customFormat="false" ht="15" hidden="false" customHeight="false" outlineLevel="0" collapsed="false">
      <c r="A63" s="6" t="s">
        <v>119</v>
      </c>
      <c r="B63" s="6" t="s">
        <v>120</v>
      </c>
      <c r="D63" s="17" t="str">
        <f aca="false">IF(COUNTIFS(Data_Long!$A$6:$A$243,D$5,Data_Long!$B$6:$B$243,$A63)=0,"not published",IF(COUNTIFS(Data_Long!$A$6:$A$243,D$5,Data_Long!$B$6:$B$243,$A63,Data_Long!$F$6:$F$243,"DERIVED")&gt;0,"DERIVED","FACT"))</f>
        <v>FACT</v>
      </c>
      <c r="E63" s="17" t="str">
        <f aca="false">IF(COUNTIFS(Data_Long!$A$6:$A$243,E$5,Data_Long!$B$6:$B$243,$A63)=0,"not published",IF(COUNTIFS(Data_Long!$A$6:$A$243,E$5,Data_Long!$B$6:$B$243,$A63,Data_Long!$F$6:$F$243,"DERIVED")&gt;0,"DERIVED","FACT"))</f>
        <v>DERIVED</v>
      </c>
      <c r="F63" s="17" t="str">
        <f aca="false">IF(COUNTIFS(Data_Long!$A$6:$A$243,F$5,Data_Long!$B$6:$B$243,$A63)=0,"not published",IF(COUNTIFS(Data_Long!$A$6:$A$243,F$5,Data_Long!$B$6:$B$243,$A63,Data_Long!$F$6:$F$243,"DERIVED")&gt;0,"DERIVED","FACT"))</f>
        <v>FACT</v>
      </c>
      <c r="G63" s="17" t="str">
        <f aca="false">IF(COUNTIFS(Data_Long!$A$6:$A$243,G$5,Data_Long!$B$6:$B$243,$A63)=0,"not published",IF(COUNTIFS(Data_Long!$A$6:$A$243,G$5,Data_Long!$B$6:$B$243,$A63,Data_Long!$F$6:$F$243,"DERIVED")&gt;0,"DERIVED","FACT"))</f>
        <v>DERIVED</v>
      </c>
      <c r="H63" s="17" t="str">
        <f aca="false">IF(COUNTIFS(Data_Long!$A$6:$A$243,H$5,Data_Long!$B$6:$B$243,$A63)=0,"not published",IF(COUNTIFS(Data_Long!$A$6:$A$243,H$5,Data_Long!$B$6:$B$243,$A63,Data_Long!$F$6:$F$243,"DERIVED")&gt;0,"DERIVED","FACT"))</f>
        <v>FACT</v>
      </c>
      <c r="I63" s="17" t="str">
        <f aca="false">IF(COUNTIFS(Data_Long!$A$6:$A$243,I$5,Data_Long!$B$6:$B$243,$A63)=0,"not published",IF(COUNTIFS(Data_Long!$A$6:$A$243,I$5,Data_Long!$B$6:$B$243,$A63,Data_Long!$F$6:$F$243,"DERIVED")&gt;0,"DERIVED","FACT"))</f>
        <v>DERIVED</v>
      </c>
      <c r="J63" s="17" t="str">
        <f aca="false">IF(COUNTIFS(Data_Long!$A$6:$A$243,J$5,Data_Long!$B$6:$B$243,$A63)=0,"not published",IF(COUNTIFS(Data_Long!$A$6:$A$243,J$5,Data_Long!$B$6:$B$243,$A63,Data_Long!$F$6:$F$243,"DERIVED")&gt;0,"DERIVED","FACT"))</f>
        <v>FACT</v>
      </c>
    </row>
    <row r="64" customFormat="false" ht="15" hidden="false" customHeight="false" outlineLevel="0" collapsed="false">
      <c r="A64" s="6" t="s">
        <v>121</v>
      </c>
      <c r="B64" s="6" t="s">
        <v>122</v>
      </c>
      <c r="D64" s="17" t="str">
        <f aca="false">IF(COUNTIFS(Data_Long!$A$6:$A$243,D$5,Data_Long!$B$6:$B$243,$A64)=0,"not published",IF(COUNTIFS(Data_Long!$A$6:$A$243,D$5,Data_Long!$B$6:$B$243,$A64,Data_Long!$F$6:$F$243,"DERIVED")&gt;0,"DERIVED","FACT"))</f>
        <v>FACT</v>
      </c>
      <c r="E64" s="17" t="str">
        <f aca="false">IF(COUNTIFS(Data_Long!$A$6:$A$243,E$5,Data_Long!$B$6:$B$243,$A64)=0,"not published",IF(COUNTIFS(Data_Long!$A$6:$A$243,E$5,Data_Long!$B$6:$B$243,$A64,Data_Long!$F$6:$F$243,"DERIVED")&gt;0,"DERIVED","FACT"))</f>
        <v>DERIVED</v>
      </c>
      <c r="F64" s="17" t="str">
        <f aca="false">IF(COUNTIFS(Data_Long!$A$6:$A$243,F$5,Data_Long!$B$6:$B$243,$A64)=0,"not published",IF(COUNTIFS(Data_Long!$A$6:$A$243,F$5,Data_Long!$B$6:$B$243,$A64,Data_Long!$F$6:$F$243,"DERIVED")&gt;0,"DERIVED","FACT"))</f>
        <v>FACT</v>
      </c>
      <c r="G64" s="17" t="str">
        <f aca="false">IF(COUNTIFS(Data_Long!$A$6:$A$243,G$5,Data_Long!$B$6:$B$243,$A64)=0,"not published",IF(COUNTIFS(Data_Long!$A$6:$A$243,G$5,Data_Long!$B$6:$B$243,$A64,Data_Long!$F$6:$F$243,"DERIVED")&gt;0,"DERIVED","FACT"))</f>
        <v>DERIVED</v>
      </c>
      <c r="H64" s="17" t="str">
        <f aca="false">IF(COUNTIFS(Data_Long!$A$6:$A$243,H$5,Data_Long!$B$6:$B$243,$A64)=0,"not published",IF(COUNTIFS(Data_Long!$A$6:$A$243,H$5,Data_Long!$B$6:$B$243,$A64,Data_Long!$F$6:$F$243,"DERIVED")&gt;0,"DERIVED","FACT"))</f>
        <v>FACT</v>
      </c>
      <c r="I64" s="17" t="str">
        <f aca="false">IF(COUNTIFS(Data_Long!$A$6:$A$243,I$5,Data_Long!$B$6:$B$243,$A64)=0,"not published",IF(COUNTIFS(Data_Long!$A$6:$A$243,I$5,Data_Long!$B$6:$B$243,$A64,Data_Long!$F$6:$F$243,"DERIVED")&gt;0,"DERIVED","FACT"))</f>
        <v>DERIVED</v>
      </c>
      <c r="J64" s="17" t="str">
        <f aca="false">IF(COUNTIFS(Data_Long!$A$6:$A$243,J$5,Data_Long!$B$6:$B$243,$A64)=0,"not published",IF(COUNTIFS(Data_Long!$A$6:$A$243,J$5,Data_Long!$B$6:$B$243,$A64,Data_Long!$F$6:$F$243,"DERIVED")&gt;0,"DERIVED","FACT"))</f>
        <v>FACT</v>
      </c>
    </row>
    <row r="65" customFormat="false" ht="15" hidden="false" customHeight="false" outlineLevel="0" collapsed="false">
      <c r="A65" s="6" t="s">
        <v>123</v>
      </c>
      <c r="B65" s="6" t="s">
        <v>124</v>
      </c>
      <c r="D65" s="17" t="str">
        <f aca="false">IF(COUNTIFS(Data_Long!$A$6:$A$243,D$5,Data_Long!$B$6:$B$243,$A65)=0,"not published",IF(COUNTIFS(Data_Long!$A$6:$A$243,D$5,Data_Long!$B$6:$B$243,$A65,Data_Long!$F$6:$F$243,"DERIVED")&gt;0,"DERIVED","FACT"))</f>
        <v>DERIVED</v>
      </c>
      <c r="E65" s="17" t="str">
        <f aca="false">IF(COUNTIFS(Data_Long!$A$6:$A$243,E$5,Data_Long!$B$6:$B$243,$A65)=0,"not published",IF(COUNTIFS(Data_Long!$A$6:$A$243,E$5,Data_Long!$B$6:$B$243,$A65,Data_Long!$F$6:$F$243,"DERIVED")&gt;0,"DERIVED","FACT"))</f>
        <v>DERIVED</v>
      </c>
      <c r="F65" s="17" t="str">
        <f aca="false">IF(COUNTIFS(Data_Long!$A$6:$A$243,F$5,Data_Long!$B$6:$B$243,$A65)=0,"not published",IF(COUNTIFS(Data_Long!$A$6:$A$243,F$5,Data_Long!$B$6:$B$243,$A65,Data_Long!$F$6:$F$243,"DERIVED")&gt;0,"DERIVED","FACT"))</f>
        <v>FACT</v>
      </c>
      <c r="G65" s="17" t="str">
        <f aca="false">IF(COUNTIFS(Data_Long!$A$6:$A$243,G$5,Data_Long!$B$6:$B$243,$A65)=0,"not published",IF(COUNTIFS(Data_Long!$A$6:$A$243,G$5,Data_Long!$B$6:$B$243,$A65,Data_Long!$F$6:$F$243,"DERIVED")&gt;0,"DERIVED","FACT"))</f>
        <v>DERIVED</v>
      </c>
      <c r="H65" s="17" t="str">
        <f aca="false">IF(COUNTIFS(Data_Long!$A$6:$A$243,H$5,Data_Long!$B$6:$B$243,$A65)=0,"not published",IF(COUNTIFS(Data_Long!$A$6:$A$243,H$5,Data_Long!$B$6:$B$243,$A65,Data_Long!$F$6:$F$243,"DERIVED")&gt;0,"DERIVED","FACT"))</f>
        <v>FACT</v>
      </c>
      <c r="I65" s="17" t="str">
        <f aca="false">IF(COUNTIFS(Data_Long!$A$6:$A$243,I$5,Data_Long!$B$6:$B$243,$A65)=0,"not published",IF(COUNTIFS(Data_Long!$A$6:$A$243,I$5,Data_Long!$B$6:$B$243,$A65,Data_Long!$F$6:$F$243,"DERIVED")&gt;0,"DERIVED","FACT"))</f>
        <v>DERIVED</v>
      </c>
      <c r="J65" s="17" t="str">
        <f aca="false">IF(COUNTIFS(Data_Long!$A$6:$A$243,J$5,Data_Long!$B$6:$B$243,$A65)=0,"not published",IF(COUNTIFS(Data_Long!$A$6:$A$243,J$5,Data_Long!$B$6:$B$243,$A65,Data_Long!$F$6:$F$243,"DERIVED")&gt;0,"DERIVED","FACT"))</f>
        <v>FACT</v>
      </c>
    </row>
    <row r="66" customFormat="false" ht="15" hidden="false" customHeight="false" outlineLevel="0" collapsed="false">
      <c r="A66" s="6" t="s">
        <v>126</v>
      </c>
      <c r="B66" s="6" t="s">
        <v>127</v>
      </c>
      <c r="D66" s="17" t="str">
        <f aca="false">IF(COUNTIFS(Data_Long!$A$6:$A$243,D$5,Data_Long!$B$6:$B$243,$A66)=0,"not published",IF(COUNTIFS(Data_Long!$A$6:$A$243,D$5,Data_Long!$B$6:$B$243,$A66,Data_Long!$F$6:$F$243,"DERIVED")&gt;0,"DERIVED","FACT"))</f>
        <v>FACT</v>
      </c>
      <c r="E66" s="17" t="str">
        <f aca="false">IF(COUNTIFS(Data_Long!$A$6:$A$243,E$5,Data_Long!$B$6:$B$243,$A66)=0,"not published",IF(COUNTIFS(Data_Long!$A$6:$A$243,E$5,Data_Long!$B$6:$B$243,$A66,Data_Long!$F$6:$F$243,"DERIVED")&gt;0,"DERIVED","FACT"))</f>
        <v>DERIVED</v>
      </c>
      <c r="F66" s="17" t="str">
        <f aca="false">IF(COUNTIFS(Data_Long!$A$6:$A$243,F$5,Data_Long!$B$6:$B$243,$A66)=0,"not published",IF(COUNTIFS(Data_Long!$A$6:$A$243,F$5,Data_Long!$B$6:$B$243,$A66,Data_Long!$F$6:$F$243,"DERIVED")&gt;0,"DERIVED","FACT"))</f>
        <v>FACT</v>
      </c>
      <c r="G66" s="17" t="str">
        <f aca="false">IF(COUNTIFS(Data_Long!$A$6:$A$243,G$5,Data_Long!$B$6:$B$243,$A66)=0,"not published",IF(COUNTIFS(Data_Long!$A$6:$A$243,G$5,Data_Long!$B$6:$B$243,$A66,Data_Long!$F$6:$F$243,"DERIVED")&gt;0,"DERIVED","FACT"))</f>
        <v>DERIVED</v>
      </c>
      <c r="H66" s="17" t="str">
        <f aca="false">IF(COUNTIFS(Data_Long!$A$6:$A$243,H$5,Data_Long!$B$6:$B$243,$A66)=0,"not published",IF(COUNTIFS(Data_Long!$A$6:$A$243,H$5,Data_Long!$B$6:$B$243,$A66,Data_Long!$F$6:$F$243,"DERIVED")&gt;0,"DERIVED","FACT"))</f>
        <v>FACT</v>
      </c>
      <c r="I66" s="17" t="str">
        <f aca="false">IF(COUNTIFS(Data_Long!$A$6:$A$243,I$5,Data_Long!$B$6:$B$243,$A66)=0,"not published",IF(COUNTIFS(Data_Long!$A$6:$A$243,I$5,Data_Long!$B$6:$B$243,$A66,Data_Long!$F$6:$F$243,"DERIVED")&gt;0,"DERIVED","FACT"))</f>
        <v>DERIVED</v>
      </c>
      <c r="J66" s="17" t="str">
        <f aca="false">IF(COUNTIFS(Data_Long!$A$6:$A$243,J$5,Data_Long!$B$6:$B$243,$A66)=0,"not published",IF(COUNTIFS(Data_Long!$A$6:$A$243,J$5,Data_Long!$B$6:$B$243,$A66,Data_Long!$F$6:$F$243,"DERIVED")&gt;0,"DERIVED","FACT"))</f>
        <v>FACT</v>
      </c>
    </row>
    <row r="67" customFormat="false" ht="15" hidden="false" customHeight="false" outlineLevel="0" collapsed="false">
      <c r="A67" s="6" t="s">
        <v>128</v>
      </c>
      <c r="B67" s="6" t="s">
        <v>129</v>
      </c>
      <c r="D67" s="17" t="str">
        <f aca="false">IF(COUNTIFS(Data_Long!$A$6:$A$243,D$5,Data_Long!$B$6:$B$243,$A67)=0,"not published",IF(COUNTIFS(Data_Long!$A$6:$A$243,D$5,Data_Long!$B$6:$B$243,$A67,Data_Long!$F$6:$F$243,"DERIVED")&gt;0,"DERIVED","FACT"))</f>
        <v>FACT</v>
      </c>
      <c r="E67" s="17" t="str">
        <f aca="false">IF(COUNTIFS(Data_Long!$A$6:$A$243,E$5,Data_Long!$B$6:$B$243,$A67)=0,"not published",IF(COUNTIFS(Data_Long!$A$6:$A$243,E$5,Data_Long!$B$6:$B$243,$A67,Data_Long!$F$6:$F$243,"DERIVED")&gt;0,"DERIVED","FACT"))</f>
        <v>DERIVED</v>
      </c>
      <c r="F67" s="17" t="str">
        <f aca="false">IF(COUNTIFS(Data_Long!$A$6:$A$243,F$5,Data_Long!$B$6:$B$243,$A67)=0,"not published",IF(COUNTIFS(Data_Long!$A$6:$A$243,F$5,Data_Long!$B$6:$B$243,$A67,Data_Long!$F$6:$F$243,"DERIVED")&gt;0,"DERIVED","FACT"))</f>
        <v>FACT</v>
      </c>
      <c r="G67" s="17" t="str">
        <f aca="false">IF(COUNTIFS(Data_Long!$A$6:$A$243,G$5,Data_Long!$B$6:$B$243,$A67)=0,"not published",IF(COUNTIFS(Data_Long!$A$6:$A$243,G$5,Data_Long!$B$6:$B$243,$A67,Data_Long!$F$6:$F$243,"DERIVED")&gt;0,"DERIVED","FACT"))</f>
        <v>DERIVED</v>
      </c>
      <c r="H67" s="17" t="str">
        <f aca="false">IF(COUNTIFS(Data_Long!$A$6:$A$243,H$5,Data_Long!$B$6:$B$243,$A67)=0,"not published",IF(COUNTIFS(Data_Long!$A$6:$A$243,H$5,Data_Long!$B$6:$B$243,$A67,Data_Long!$F$6:$F$243,"DERIVED")&gt;0,"DERIVED","FACT"))</f>
        <v>FACT</v>
      </c>
      <c r="I67" s="17" t="str">
        <f aca="false">IF(COUNTIFS(Data_Long!$A$6:$A$243,I$5,Data_Long!$B$6:$B$243,$A67)=0,"not published",IF(COUNTIFS(Data_Long!$A$6:$A$243,I$5,Data_Long!$B$6:$B$243,$A67,Data_Long!$F$6:$F$243,"DERIVED")&gt;0,"DERIVED","FACT"))</f>
        <v>DERIVED</v>
      </c>
      <c r="J67" s="17" t="str">
        <f aca="false">IF(COUNTIFS(Data_Long!$A$6:$A$243,J$5,Data_Long!$B$6:$B$243,$A67)=0,"not published",IF(COUNTIFS(Data_Long!$A$6:$A$243,J$5,Data_Long!$B$6:$B$243,$A67,Data_Long!$F$6:$F$243,"DERIVED")&gt;0,"DERIVED","FACT"))</f>
        <v>FACT</v>
      </c>
    </row>
    <row r="68" customFormat="false" ht="15" hidden="false" customHeight="false" outlineLevel="0" collapsed="false">
      <c r="A68" s="6" t="s">
        <v>130</v>
      </c>
      <c r="B68" s="6" t="s">
        <v>131</v>
      </c>
      <c r="D68" s="17" t="str">
        <f aca="false">IF(COUNTIFS(Data_Long!$A$6:$A$243,D$5,Data_Long!$B$6:$B$243,$A68)=0,"not published",IF(COUNTIFS(Data_Long!$A$6:$A$243,D$5,Data_Long!$B$6:$B$243,$A68,Data_Long!$F$6:$F$243,"DERIVED")&gt;0,"DERIVED","FACT"))</f>
        <v>FACT</v>
      </c>
      <c r="E68" s="17" t="str">
        <f aca="false">IF(COUNTIFS(Data_Long!$A$6:$A$243,E$5,Data_Long!$B$6:$B$243,$A68)=0,"not published",IF(COUNTIFS(Data_Long!$A$6:$A$243,E$5,Data_Long!$B$6:$B$243,$A68,Data_Long!$F$6:$F$243,"DERIVED")&gt;0,"DERIVED","FACT"))</f>
        <v>DERIVED</v>
      </c>
      <c r="F68" s="17" t="str">
        <f aca="false">IF(COUNTIFS(Data_Long!$A$6:$A$243,F$5,Data_Long!$B$6:$B$243,$A68)=0,"not published",IF(COUNTIFS(Data_Long!$A$6:$A$243,F$5,Data_Long!$B$6:$B$243,$A68,Data_Long!$F$6:$F$243,"DERIVED")&gt;0,"DERIVED","FACT"))</f>
        <v>FACT</v>
      </c>
      <c r="G68" s="17" t="str">
        <f aca="false">IF(COUNTIFS(Data_Long!$A$6:$A$243,G$5,Data_Long!$B$6:$B$243,$A68)=0,"not published",IF(COUNTIFS(Data_Long!$A$6:$A$243,G$5,Data_Long!$B$6:$B$243,$A68,Data_Long!$F$6:$F$243,"DERIVED")&gt;0,"DERIVED","FACT"))</f>
        <v>DERIVED</v>
      </c>
      <c r="H68" s="17" t="str">
        <f aca="false">IF(COUNTIFS(Data_Long!$A$6:$A$243,H$5,Data_Long!$B$6:$B$243,$A68)=0,"not published",IF(COUNTIFS(Data_Long!$A$6:$A$243,H$5,Data_Long!$B$6:$B$243,$A68,Data_Long!$F$6:$F$243,"DERIVED")&gt;0,"DERIVED","FACT"))</f>
        <v>FACT</v>
      </c>
      <c r="I68" s="17" t="str">
        <f aca="false">IF(COUNTIFS(Data_Long!$A$6:$A$243,I$5,Data_Long!$B$6:$B$243,$A68)=0,"not published",IF(COUNTIFS(Data_Long!$A$6:$A$243,I$5,Data_Long!$B$6:$B$243,$A68,Data_Long!$F$6:$F$243,"DERIVED")&gt;0,"DERIVED","FACT"))</f>
        <v>DERIVED</v>
      </c>
      <c r="J68" s="17" t="str">
        <f aca="false">IF(COUNTIFS(Data_Long!$A$6:$A$243,J$5,Data_Long!$B$6:$B$243,$A68)=0,"not published",IF(COUNTIFS(Data_Long!$A$6:$A$243,J$5,Data_Long!$B$6:$B$243,$A68,Data_Long!$F$6:$F$243,"DERIVED")&gt;0,"DERIVED","FACT"))</f>
        <v>FACT</v>
      </c>
    </row>
    <row r="69" customFormat="false" ht="15" hidden="false" customHeight="false" outlineLevel="0" collapsed="false">
      <c r="A69" s="6" t="s">
        <v>132</v>
      </c>
      <c r="B69" s="6" t="s">
        <v>133</v>
      </c>
      <c r="D69" s="17" t="str">
        <f aca="false">IF(COUNTIFS(Data_Long!$A$6:$A$243,D$5,Data_Long!$B$6:$B$243,$A69)=0,"not published",IF(COUNTIFS(Data_Long!$A$6:$A$243,D$5,Data_Long!$B$6:$B$243,$A69,Data_Long!$F$6:$F$243,"DERIVED")&gt;0,"DERIVED","FACT"))</f>
        <v>FACT</v>
      </c>
      <c r="E69" s="17" t="str">
        <f aca="false">IF(COUNTIFS(Data_Long!$A$6:$A$243,E$5,Data_Long!$B$6:$B$243,$A69)=0,"not published",IF(COUNTIFS(Data_Long!$A$6:$A$243,E$5,Data_Long!$B$6:$B$243,$A69,Data_Long!$F$6:$F$243,"DERIVED")&gt;0,"DERIVED","FACT"))</f>
        <v>DERIVED</v>
      </c>
      <c r="F69" s="17" t="str">
        <f aca="false">IF(COUNTIFS(Data_Long!$A$6:$A$243,F$5,Data_Long!$B$6:$B$243,$A69)=0,"not published",IF(COUNTIFS(Data_Long!$A$6:$A$243,F$5,Data_Long!$B$6:$B$243,$A69,Data_Long!$F$6:$F$243,"DERIVED")&gt;0,"DERIVED","FACT"))</f>
        <v>FACT</v>
      </c>
      <c r="G69" s="17" t="str">
        <f aca="false">IF(COUNTIFS(Data_Long!$A$6:$A$243,G$5,Data_Long!$B$6:$B$243,$A69)=0,"not published",IF(COUNTIFS(Data_Long!$A$6:$A$243,G$5,Data_Long!$B$6:$B$243,$A69,Data_Long!$F$6:$F$243,"DERIVED")&gt;0,"DERIVED","FACT"))</f>
        <v>DERIVED</v>
      </c>
      <c r="H69" s="17" t="str">
        <f aca="false">IF(COUNTIFS(Data_Long!$A$6:$A$243,H$5,Data_Long!$B$6:$B$243,$A69)=0,"not published",IF(COUNTIFS(Data_Long!$A$6:$A$243,H$5,Data_Long!$B$6:$B$243,$A69,Data_Long!$F$6:$F$243,"DERIVED")&gt;0,"DERIVED","FACT"))</f>
        <v>FACT</v>
      </c>
      <c r="I69" s="17" t="str">
        <f aca="false">IF(COUNTIFS(Data_Long!$A$6:$A$243,I$5,Data_Long!$B$6:$B$243,$A69)=0,"not published",IF(COUNTIFS(Data_Long!$A$6:$A$243,I$5,Data_Long!$B$6:$B$243,$A69,Data_Long!$F$6:$F$243,"DERIVED")&gt;0,"DERIVED","FACT"))</f>
        <v>DERIVED</v>
      </c>
      <c r="J69" s="17" t="str">
        <f aca="false">IF(COUNTIFS(Data_Long!$A$6:$A$243,J$5,Data_Long!$B$6:$B$243,$A69)=0,"not published",IF(COUNTIFS(Data_Long!$A$6:$A$243,J$5,Data_Long!$B$6:$B$243,$A69,Data_Long!$F$6:$F$243,"DERIVED")&gt;0,"DERIVED","FACT"))</f>
        <v>FACT</v>
      </c>
    </row>
    <row r="70" customFormat="false" ht="15" hidden="false" customHeight="false" outlineLevel="0" collapsed="false">
      <c r="A70" s="6" t="s">
        <v>134</v>
      </c>
      <c r="B70" s="6" t="s">
        <v>135</v>
      </c>
      <c r="D70" s="17" t="str">
        <f aca="false">IF(COUNTIFS(Data_Long!$A$6:$A$243,D$5,Data_Long!$B$6:$B$243,$A70)=0,"not published",IF(COUNTIFS(Data_Long!$A$6:$A$243,D$5,Data_Long!$B$6:$B$243,$A70,Data_Long!$F$6:$F$243,"DERIVED")&gt;0,"DERIVED","FACT"))</f>
        <v>FACT</v>
      </c>
      <c r="E70" s="17" t="str">
        <f aca="false">IF(COUNTIFS(Data_Long!$A$6:$A$243,E$5,Data_Long!$B$6:$B$243,$A70)=0,"not published",IF(COUNTIFS(Data_Long!$A$6:$A$243,E$5,Data_Long!$B$6:$B$243,$A70,Data_Long!$F$6:$F$243,"DERIVED")&gt;0,"DERIVED","FACT"))</f>
        <v>DERIVED</v>
      </c>
      <c r="F70" s="17" t="str">
        <f aca="false">IF(COUNTIFS(Data_Long!$A$6:$A$243,F$5,Data_Long!$B$6:$B$243,$A70)=0,"not published",IF(COUNTIFS(Data_Long!$A$6:$A$243,F$5,Data_Long!$B$6:$B$243,$A70,Data_Long!$F$6:$F$243,"DERIVED")&gt;0,"DERIVED","FACT"))</f>
        <v>FACT</v>
      </c>
      <c r="G70" s="17" t="str">
        <f aca="false">IF(COUNTIFS(Data_Long!$A$6:$A$243,G$5,Data_Long!$B$6:$B$243,$A70)=0,"not published",IF(COUNTIFS(Data_Long!$A$6:$A$243,G$5,Data_Long!$B$6:$B$243,$A70,Data_Long!$F$6:$F$243,"DERIVED")&gt;0,"DERIVED","FACT"))</f>
        <v>DERIVED</v>
      </c>
      <c r="H70" s="17" t="str">
        <f aca="false">IF(COUNTIFS(Data_Long!$A$6:$A$243,H$5,Data_Long!$B$6:$B$243,$A70)=0,"not published",IF(COUNTIFS(Data_Long!$A$6:$A$243,H$5,Data_Long!$B$6:$B$243,$A70,Data_Long!$F$6:$F$243,"DERIVED")&gt;0,"DERIVED","FACT"))</f>
        <v>FACT</v>
      </c>
      <c r="I70" s="17" t="str">
        <f aca="false">IF(COUNTIFS(Data_Long!$A$6:$A$243,I$5,Data_Long!$B$6:$B$243,$A70)=0,"not published",IF(COUNTIFS(Data_Long!$A$6:$A$243,I$5,Data_Long!$B$6:$B$243,$A70,Data_Long!$F$6:$F$243,"DERIVED")&gt;0,"DERIVED","FACT"))</f>
        <v>DERIVED</v>
      </c>
      <c r="J70" s="17" t="str">
        <f aca="false">IF(COUNTIFS(Data_Long!$A$6:$A$243,J$5,Data_Long!$B$6:$B$243,$A70)=0,"not published",IF(COUNTIFS(Data_Long!$A$6:$A$243,J$5,Data_Long!$B$6:$B$243,$A70,Data_Long!$F$6:$F$243,"DERIVED")&gt;0,"DERIVED","FACT"))</f>
        <v>FACT</v>
      </c>
    </row>
    <row r="71" customFormat="false" ht="15" hidden="false" customHeight="false" outlineLevel="0" collapsed="false">
      <c r="A71" s="6" t="s">
        <v>136</v>
      </c>
      <c r="B71" s="6" t="s">
        <v>137</v>
      </c>
      <c r="D71" s="17" t="str">
        <f aca="false">IF(COUNTIFS(Data_Long!$A$6:$A$243,D$5,Data_Long!$B$6:$B$243,$A71)=0,"not published",IF(COUNTIFS(Data_Long!$A$6:$A$243,D$5,Data_Long!$B$6:$B$243,$A71,Data_Long!$F$6:$F$243,"DERIVED")&gt;0,"DERIVED","FACT"))</f>
        <v>FACT</v>
      </c>
      <c r="E71" s="17" t="str">
        <f aca="false">IF(COUNTIFS(Data_Long!$A$6:$A$243,E$5,Data_Long!$B$6:$B$243,$A71)=0,"not published",IF(COUNTIFS(Data_Long!$A$6:$A$243,E$5,Data_Long!$B$6:$B$243,$A71,Data_Long!$F$6:$F$243,"DERIVED")&gt;0,"DERIVED","FACT"))</f>
        <v>DERIVED</v>
      </c>
      <c r="F71" s="17" t="str">
        <f aca="false">IF(COUNTIFS(Data_Long!$A$6:$A$243,F$5,Data_Long!$B$6:$B$243,$A71)=0,"not published",IF(COUNTIFS(Data_Long!$A$6:$A$243,F$5,Data_Long!$B$6:$B$243,$A71,Data_Long!$F$6:$F$243,"DERIVED")&gt;0,"DERIVED","FACT"))</f>
        <v>FACT</v>
      </c>
      <c r="G71" s="17" t="str">
        <f aca="false">IF(COUNTIFS(Data_Long!$A$6:$A$243,G$5,Data_Long!$B$6:$B$243,$A71)=0,"not published",IF(COUNTIFS(Data_Long!$A$6:$A$243,G$5,Data_Long!$B$6:$B$243,$A71,Data_Long!$F$6:$F$243,"DERIVED")&gt;0,"DERIVED","FACT"))</f>
        <v>DERIVED</v>
      </c>
      <c r="H71" s="17" t="str">
        <f aca="false">IF(COUNTIFS(Data_Long!$A$6:$A$243,H$5,Data_Long!$B$6:$B$243,$A71)=0,"not published",IF(COUNTIFS(Data_Long!$A$6:$A$243,H$5,Data_Long!$B$6:$B$243,$A71,Data_Long!$F$6:$F$243,"DERIVED")&gt;0,"DERIVED","FACT"))</f>
        <v>FACT</v>
      </c>
      <c r="I71" s="17" t="str">
        <f aca="false">IF(COUNTIFS(Data_Long!$A$6:$A$243,I$5,Data_Long!$B$6:$B$243,$A71)=0,"not published",IF(COUNTIFS(Data_Long!$A$6:$A$243,I$5,Data_Long!$B$6:$B$243,$A71,Data_Long!$F$6:$F$243,"DERIVED")&gt;0,"DERIVED","FACT"))</f>
        <v>DERIVED</v>
      </c>
      <c r="J71" s="17" t="str">
        <f aca="false">IF(COUNTIFS(Data_Long!$A$6:$A$243,J$5,Data_Long!$B$6:$B$243,$A71)=0,"not published",IF(COUNTIFS(Data_Long!$A$6:$A$243,J$5,Data_Long!$B$6:$B$243,$A71,Data_Long!$F$6:$F$243,"DERIVED")&gt;0,"DERIVED","FACT"))</f>
        <v>FACT</v>
      </c>
    </row>
    <row r="72" customFormat="false" ht="15" hidden="false" customHeight="false" outlineLevel="0" collapsed="false">
      <c r="A72" s="6" t="s">
        <v>138</v>
      </c>
      <c r="B72" s="6" t="s">
        <v>139</v>
      </c>
      <c r="D72" s="17" t="str">
        <f aca="false">IF(COUNTIFS(Data_Long!$A$6:$A$243,D$5,Data_Long!$B$6:$B$243,$A72)=0,"not published",IF(COUNTIFS(Data_Long!$A$6:$A$243,D$5,Data_Long!$B$6:$B$243,$A72,Data_Long!$F$6:$F$243,"DERIVED")&gt;0,"DERIVED","FACT"))</f>
        <v>FACT</v>
      </c>
      <c r="E72" s="17" t="str">
        <f aca="false">IF(COUNTIFS(Data_Long!$A$6:$A$243,E$5,Data_Long!$B$6:$B$243,$A72)=0,"not published",IF(COUNTIFS(Data_Long!$A$6:$A$243,E$5,Data_Long!$B$6:$B$243,$A72,Data_Long!$F$6:$F$243,"DERIVED")&gt;0,"DERIVED","FACT"))</f>
        <v>DERIVED</v>
      </c>
      <c r="F72" s="17" t="str">
        <f aca="false">IF(COUNTIFS(Data_Long!$A$6:$A$243,F$5,Data_Long!$B$6:$B$243,$A72)=0,"not published",IF(COUNTIFS(Data_Long!$A$6:$A$243,F$5,Data_Long!$B$6:$B$243,$A72,Data_Long!$F$6:$F$243,"DERIVED")&gt;0,"DERIVED","FACT"))</f>
        <v>FACT</v>
      </c>
      <c r="G72" s="17" t="str">
        <f aca="false">IF(COUNTIFS(Data_Long!$A$6:$A$243,G$5,Data_Long!$B$6:$B$243,$A72)=0,"not published",IF(COUNTIFS(Data_Long!$A$6:$A$243,G$5,Data_Long!$B$6:$B$243,$A72,Data_Long!$F$6:$F$243,"DERIVED")&gt;0,"DERIVED","FACT"))</f>
        <v>DERIVED</v>
      </c>
      <c r="H72" s="17" t="str">
        <f aca="false">IF(COUNTIFS(Data_Long!$A$6:$A$243,H$5,Data_Long!$B$6:$B$243,$A72)=0,"not published",IF(COUNTIFS(Data_Long!$A$6:$A$243,H$5,Data_Long!$B$6:$B$243,$A72,Data_Long!$F$6:$F$243,"DERIVED")&gt;0,"DERIVED","FACT"))</f>
        <v>FACT</v>
      </c>
      <c r="I72" s="17" t="str">
        <f aca="false">IF(COUNTIFS(Data_Long!$A$6:$A$243,I$5,Data_Long!$B$6:$B$243,$A72)=0,"not published",IF(COUNTIFS(Data_Long!$A$6:$A$243,I$5,Data_Long!$B$6:$B$243,$A72,Data_Long!$F$6:$F$243,"DERIVED")&gt;0,"DERIVED","FACT"))</f>
        <v>DERIVED</v>
      </c>
      <c r="J72" s="17" t="str">
        <f aca="false">IF(COUNTIFS(Data_Long!$A$6:$A$243,J$5,Data_Long!$B$6:$B$243,$A72)=0,"not published",IF(COUNTIFS(Data_Long!$A$6:$A$243,J$5,Data_Long!$B$6:$B$243,$A72,Data_Long!$F$6:$F$243,"DERIVED")&gt;0,"DERIVED","FACT"))</f>
        <v>FACT</v>
      </c>
    </row>
    <row r="73" customFormat="false" ht="15" hidden="false" customHeight="false" outlineLevel="0" collapsed="false">
      <c r="A73" s="6" t="s">
        <v>140</v>
      </c>
      <c r="B73" s="6" t="s">
        <v>141</v>
      </c>
      <c r="D73" s="17" t="str">
        <f aca="false">IF(COUNTIFS(Data_Long!$A$6:$A$243,D$5,Data_Long!$B$6:$B$243,$A73)=0,"not published",IF(COUNTIFS(Data_Long!$A$6:$A$243,D$5,Data_Long!$B$6:$B$243,$A73,Data_Long!$F$6:$F$243,"DERIVED")&gt;0,"DERIVED","FACT"))</f>
        <v>not published</v>
      </c>
      <c r="E73" s="17" t="str">
        <f aca="false">IF(COUNTIFS(Data_Long!$A$6:$A$243,E$5,Data_Long!$B$6:$B$243,$A73)=0,"not published",IF(COUNTIFS(Data_Long!$A$6:$A$243,E$5,Data_Long!$B$6:$B$243,$A73,Data_Long!$F$6:$F$243,"DERIVED")&gt;0,"DERIVED","FACT"))</f>
        <v>not published</v>
      </c>
      <c r="F73" s="17" t="str">
        <f aca="false">IF(COUNTIFS(Data_Long!$A$6:$A$243,F$5,Data_Long!$B$6:$B$243,$A73)=0,"not published",IF(COUNTIFS(Data_Long!$A$6:$A$243,F$5,Data_Long!$B$6:$B$243,$A73,Data_Long!$F$6:$F$243,"DERIVED")&gt;0,"DERIVED","FACT"))</f>
        <v>not published</v>
      </c>
      <c r="G73" s="17" t="str">
        <f aca="false">IF(COUNTIFS(Data_Long!$A$6:$A$243,G$5,Data_Long!$B$6:$B$243,$A73)=0,"not published",IF(COUNTIFS(Data_Long!$A$6:$A$243,G$5,Data_Long!$B$6:$B$243,$A73,Data_Long!$F$6:$F$243,"DERIVED")&gt;0,"DERIVED","FACT"))</f>
        <v>not published</v>
      </c>
      <c r="H73" s="17" t="str">
        <f aca="false">IF(COUNTIFS(Data_Long!$A$6:$A$243,H$5,Data_Long!$B$6:$B$243,$A73)=0,"not published",IF(COUNTIFS(Data_Long!$A$6:$A$243,H$5,Data_Long!$B$6:$B$243,$A73,Data_Long!$F$6:$F$243,"DERIVED")&gt;0,"DERIVED","FACT"))</f>
        <v>FACT</v>
      </c>
      <c r="I73" s="17" t="str">
        <f aca="false">IF(COUNTIFS(Data_Long!$A$6:$A$243,I$5,Data_Long!$B$6:$B$243,$A73)=0,"not published",IF(COUNTIFS(Data_Long!$A$6:$A$243,I$5,Data_Long!$B$6:$B$243,$A73,Data_Long!$F$6:$F$243,"DERIVED")&gt;0,"DERIVED","FACT"))</f>
        <v>DERIVED</v>
      </c>
      <c r="J73" s="17" t="str">
        <f aca="false">IF(COUNTIFS(Data_Long!$A$6:$A$243,J$5,Data_Long!$B$6:$B$243,$A73)=0,"not published",IF(COUNTIFS(Data_Long!$A$6:$A$243,J$5,Data_Long!$B$6:$B$243,$A73,Data_Long!$F$6:$F$243,"DERIVED")&gt;0,"DERIVED","FACT"))</f>
        <v>FACT</v>
      </c>
    </row>
    <row r="74" customFormat="false" ht="15" hidden="false" customHeight="false" outlineLevel="0" collapsed="false">
      <c r="A74" s="6" t="s">
        <v>142</v>
      </c>
      <c r="B74" s="6" t="s">
        <v>143</v>
      </c>
      <c r="D74" s="17" t="str">
        <f aca="false">IF(COUNTIFS(Data_Long!$A$6:$A$243,D$5,Data_Long!$B$6:$B$243,$A74)=0,"not published",IF(COUNTIFS(Data_Long!$A$6:$A$243,D$5,Data_Long!$B$6:$B$243,$A74,Data_Long!$F$6:$F$243,"DERIVED")&gt;0,"DERIVED","FACT"))</f>
        <v>not published</v>
      </c>
      <c r="E74" s="17" t="str">
        <f aca="false">IF(COUNTIFS(Data_Long!$A$6:$A$243,E$5,Data_Long!$B$6:$B$243,$A74)=0,"not published",IF(COUNTIFS(Data_Long!$A$6:$A$243,E$5,Data_Long!$B$6:$B$243,$A74,Data_Long!$F$6:$F$243,"DERIVED")&gt;0,"DERIVED","FACT"))</f>
        <v>not published</v>
      </c>
      <c r="F74" s="17" t="str">
        <f aca="false">IF(COUNTIFS(Data_Long!$A$6:$A$243,F$5,Data_Long!$B$6:$B$243,$A74)=0,"not published",IF(COUNTIFS(Data_Long!$A$6:$A$243,F$5,Data_Long!$B$6:$B$243,$A74,Data_Long!$F$6:$F$243,"DERIVED")&gt;0,"DERIVED","FACT"))</f>
        <v>not published</v>
      </c>
      <c r="G74" s="17" t="str">
        <f aca="false">IF(COUNTIFS(Data_Long!$A$6:$A$243,G$5,Data_Long!$B$6:$B$243,$A74)=0,"not published",IF(COUNTIFS(Data_Long!$A$6:$A$243,G$5,Data_Long!$B$6:$B$243,$A74,Data_Long!$F$6:$F$243,"DERIVED")&gt;0,"DERIVED","FACT"))</f>
        <v>not published</v>
      </c>
      <c r="H74" s="17" t="str">
        <f aca="false">IF(COUNTIFS(Data_Long!$A$6:$A$243,H$5,Data_Long!$B$6:$B$243,$A74)=0,"not published",IF(COUNTIFS(Data_Long!$A$6:$A$243,H$5,Data_Long!$B$6:$B$243,$A74,Data_Long!$F$6:$F$243,"DERIVED")&gt;0,"DERIVED","FACT"))</f>
        <v>FACT</v>
      </c>
      <c r="I74" s="17" t="str">
        <f aca="false">IF(COUNTIFS(Data_Long!$A$6:$A$243,I$5,Data_Long!$B$6:$B$243,$A74)=0,"not published",IF(COUNTIFS(Data_Long!$A$6:$A$243,I$5,Data_Long!$B$6:$B$243,$A74,Data_Long!$F$6:$F$243,"DERIVED")&gt;0,"DERIVED","FACT"))</f>
        <v>DERIVED</v>
      </c>
      <c r="J74" s="17" t="str">
        <f aca="false">IF(COUNTIFS(Data_Long!$A$6:$A$243,J$5,Data_Long!$B$6:$B$243,$A74)=0,"not published",IF(COUNTIFS(Data_Long!$A$6:$A$243,J$5,Data_Long!$B$6:$B$243,$A74,Data_Long!$F$6:$F$243,"DERIVED")&gt;0,"DERIVED","FACT"))</f>
        <v>not published</v>
      </c>
    </row>
    <row r="75" customFormat="false" ht="15" hidden="false" customHeight="false" outlineLevel="0" collapsed="false">
      <c r="A75" s="6" t="s">
        <v>145</v>
      </c>
      <c r="B75" s="6" t="s">
        <v>146</v>
      </c>
      <c r="D75" s="17" t="str">
        <f aca="false">IF(COUNTIFS(Data_Long!$A$6:$A$243,D$5,Data_Long!$B$6:$B$243,$A75)=0,"not published",IF(COUNTIFS(Data_Long!$A$6:$A$243,D$5,Data_Long!$B$6:$B$243,$A75,Data_Long!$F$6:$F$243,"DERIVED")&gt;0,"DERIVED","FACT"))</f>
        <v>not published</v>
      </c>
      <c r="E75" s="17" t="str">
        <f aca="false">IF(COUNTIFS(Data_Long!$A$6:$A$243,E$5,Data_Long!$B$6:$B$243,$A75)=0,"not published",IF(COUNTIFS(Data_Long!$A$6:$A$243,E$5,Data_Long!$B$6:$B$243,$A75,Data_Long!$F$6:$F$243,"DERIVED")&gt;0,"DERIVED","FACT"))</f>
        <v>not published</v>
      </c>
      <c r="F75" s="17" t="str">
        <f aca="false">IF(COUNTIFS(Data_Long!$A$6:$A$243,F$5,Data_Long!$B$6:$B$243,$A75)=0,"not published",IF(COUNTIFS(Data_Long!$A$6:$A$243,F$5,Data_Long!$B$6:$B$243,$A75,Data_Long!$F$6:$F$243,"DERIVED")&gt;0,"DERIVED","FACT"))</f>
        <v>not published</v>
      </c>
      <c r="G75" s="17" t="str">
        <f aca="false">IF(COUNTIFS(Data_Long!$A$6:$A$243,G$5,Data_Long!$B$6:$B$243,$A75)=0,"not published",IF(COUNTIFS(Data_Long!$A$6:$A$243,G$5,Data_Long!$B$6:$B$243,$A75,Data_Long!$F$6:$F$243,"DERIVED")&gt;0,"DERIVED","FACT"))</f>
        <v>not published</v>
      </c>
      <c r="H75" s="17" t="str">
        <f aca="false">IF(COUNTIFS(Data_Long!$A$6:$A$243,H$5,Data_Long!$B$6:$B$243,$A75)=0,"not published",IF(COUNTIFS(Data_Long!$A$6:$A$243,H$5,Data_Long!$B$6:$B$243,$A75,Data_Long!$F$6:$F$243,"DERIVED")&gt;0,"DERIVED","FACT"))</f>
        <v>FACT</v>
      </c>
      <c r="I75" s="17" t="str">
        <f aca="false">IF(COUNTIFS(Data_Long!$A$6:$A$243,I$5,Data_Long!$B$6:$B$243,$A75)=0,"not published",IF(COUNTIFS(Data_Long!$A$6:$A$243,I$5,Data_Long!$B$6:$B$243,$A75,Data_Long!$F$6:$F$243,"DERIVED")&gt;0,"DERIVED","FACT"))</f>
        <v>DERIVED</v>
      </c>
      <c r="J75" s="17" t="str">
        <f aca="false">IF(COUNTIFS(Data_Long!$A$6:$A$243,J$5,Data_Long!$B$6:$B$243,$A75)=0,"not published",IF(COUNTIFS(Data_Long!$A$6:$A$243,J$5,Data_Long!$B$6:$B$243,$A75,Data_Long!$F$6:$F$243,"DERIVED")&gt;0,"DERIVED","FACT"))</f>
        <v>FACT</v>
      </c>
    </row>
    <row r="76" customFormat="false" ht="15" hidden="false" customHeight="false" outlineLevel="0" collapsed="false">
      <c r="A76" s="6" t="s">
        <v>148</v>
      </c>
      <c r="B76" s="6" t="s">
        <v>149</v>
      </c>
      <c r="D76" s="17" t="str">
        <f aca="false">IF(COUNTIFS(Data_Long!$A$6:$A$243,D$5,Data_Long!$B$6:$B$243,$A76)=0,"not published",IF(COUNTIFS(Data_Long!$A$6:$A$243,D$5,Data_Long!$B$6:$B$243,$A76,Data_Long!$F$6:$F$243,"DERIVED")&gt;0,"DERIVED","FACT"))</f>
        <v>not published</v>
      </c>
      <c r="E76" s="17" t="str">
        <f aca="false">IF(COUNTIFS(Data_Long!$A$6:$A$243,E$5,Data_Long!$B$6:$B$243,$A76)=0,"not published",IF(COUNTIFS(Data_Long!$A$6:$A$243,E$5,Data_Long!$B$6:$B$243,$A76,Data_Long!$F$6:$F$243,"DERIVED")&gt;0,"DERIVED","FACT"))</f>
        <v>not published</v>
      </c>
      <c r="F76" s="17" t="str">
        <f aca="false">IF(COUNTIFS(Data_Long!$A$6:$A$243,F$5,Data_Long!$B$6:$B$243,$A76)=0,"not published",IF(COUNTIFS(Data_Long!$A$6:$A$243,F$5,Data_Long!$B$6:$B$243,$A76,Data_Long!$F$6:$F$243,"DERIVED")&gt;0,"DERIVED","FACT"))</f>
        <v>not published</v>
      </c>
      <c r="G76" s="17" t="str">
        <f aca="false">IF(COUNTIFS(Data_Long!$A$6:$A$243,G$5,Data_Long!$B$6:$B$243,$A76)=0,"not published",IF(COUNTIFS(Data_Long!$A$6:$A$243,G$5,Data_Long!$B$6:$B$243,$A76,Data_Long!$F$6:$F$243,"DERIVED")&gt;0,"DERIVED","FACT"))</f>
        <v>not published</v>
      </c>
      <c r="H76" s="17" t="str">
        <f aca="false">IF(COUNTIFS(Data_Long!$A$6:$A$243,H$5,Data_Long!$B$6:$B$243,$A76)=0,"not published",IF(COUNTIFS(Data_Long!$A$6:$A$243,H$5,Data_Long!$B$6:$B$243,$A76,Data_Long!$F$6:$F$243,"DERIVED")&gt;0,"DERIVED","FACT"))</f>
        <v>not published</v>
      </c>
      <c r="I76" s="17" t="str">
        <f aca="false">IF(COUNTIFS(Data_Long!$A$6:$A$243,I$5,Data_Long!$B$6:$B$243,$A76)=0,"not published",IF(COUNTIFS(Data_Long!$A$6:$A$243,I$5,Data_Long!$B$6:$B$243,$A76,Data_Long!$F$6:$F$243,"DERIVED")&gt;0,"DERIVED","FACT"))</f>
        <v>not published</v>
      </c>
      <c r="J76" s="17" t="str">
        <f aca="false">IF(COUNTIFS(Data_Long!$A$6:$A$243,J$5,Data_Long!$B$6:$B$243,$A76)=0,"not published",IF(COUNTIFS(Data_Long!$A$6:$A$243,J$5,Data_Long!$B$6:$B$243,$A76,Data_Long!$F$6:$F$243,"DERIVED")&gt;0,"DERIVED","FACT"))</f>
        <v>FACT</v>
      </c>
    </row>
    <row r="77" customFormat="false" ht="15" hidden="false" customHeight="false" outlineLevel="0" collapsed="false">
      <c r="A77" s="6" t="s">
        <v>151</v>
      </c>
      <c r="B77" s="6" t="s">
        <v>152</v>
      </c>
      <c r="D77" s="17" t="str">
        <f aca="false">IF(COUNTIFS(Data_Long!$A$6:$A$243,D$5,Data_Long!$B$6:$B$243,$A77)=0,"not published",IF(COUNTIFS(Data_Long!$A$6:$A$243,D$5,Data_Long!$B$6:$B$243,$A77,Data_Long!$F$6:$F$243,"DERIVED")&gt;0,"DERIVED","FACT"))</f>
        <v>FACT</v>
      </c>
      <c r="E77" s="17" t="str">
        <f aca="false">IF(COUNTIFS(Data_Long!$A$6:$A$243,E$5,Data_Long!$B$6:$B$243,$A77)=0,"not published",IF(COUNTIFS(Data_Long!$A$6:$A$243,E$5,Data_Long!$B$6:$B$243,$A77,Data_Long!$F$6:$F$243,"DERIVED")&gt;0,"DERIVED","FACT"))</f>
        <v>DERIVED</v>
      </c>
      <c r="F77" s="17" t="str">
        <f aca="false">IF(COUNTIFS(Data_Long!$A$6:$A$243,F$5,Data_Long!$B$6:$B$243,$A77)=0,"not published",IF(COUNTIFS(Data_Long!$A$6:$A$243,F$5,Data_Long!$B$6:$B$243,$A77,Data_Long!$F$6:$F$243,"DERIVED")&gt;0,"DERIVED","FACT"))</f>
        <v>FACT</v>
      </c>
      <c r="G77" s="17" t="str">
        <f aca="false">IF(COUNTIFS(Data_Long!$A$6:$A$243,G$5,Data_Long!$B$6:$B$243,$A77)=0,"not published",IF(COUNTIFS(Data_Long!$A$6:$A$243,G$5,Data_Long!$B$6:$B$243,$A77,Data_Long!$F$6:$F$243,"DERIVED")&gt;0,"DERIVED","FACT"))</f>
        <v>DERIVED</v>
      </c>
      <c r="H77" s="17" t="str">
        <f aca="false">IF(COUNTIFS(Data_Long!$A$6:$A$243,H$5,Data_Long!$B$6:$B$243,$A77)=0,"not published",IF(COUNTIFS(Data_Long!$A$6:$A$243,H$5,Data_Long!$B$6:$B$243,$A77,Data_Long!$F$6:$F$243,"DERIVED")&gt;0,"DERIVED","FACT"))</f>
        <v>FACT</v>
      </c>
      <c r="I77" s="17" t="str">
        <f aca="false">IF(COUNTIFS(Data_Long!$A$6:$A$243,I$5,Data_Long!$B$6:$B$243,$A77)=0,"not published",IF(COUNTIFS(Data_Long!$A$6:$A$243,I$5,Data_Long!$B$6:$B$243,$A77,Data_Long!$F$6:$F$243,"DERIVED")&gt;0,"DERIVED","FACT"))</f>
        <v>DERIVED</v>
      </c>
      <c r="J77" s="17" t="str">
        <f aca="false">IF(COUNTIFS(Data_Long!$A$6:$A$243,J$5,Data_Long!$B$6:$B$243,$A77)=0,"not published",IF(COUNTIFS(Data_Long!$A$6:$A$243,J$5,Data_Long!$B$6:$B$243,$A77,Data_Long!$F$6:$F$243,"DERIVED")&gt;0,"DERIVED","FACT"))</f>
        <v>DERIVED</v>
      </c>
    </row>
    <row r="78" customFormat="false" ht="15" hidden="false" customHeight="false" outlineLevel="0" collapsed="false">
      <c r="A78" s="6" t="s">
        <v>153</v>
      </c>
      <c r="B78" s="6" t="s">
        <v>154</v>
      </c>
      <c r="D78" s="17" t="str">
        <f aca="false">IF(COUNTIFS(Data_Long!$A$6:$A$243,D$5,Data_Long!$B$6:$B$243,$A78)=0,"not published",IF(COUNTIFS(Data_Long!$A$6:$A$243,D$5,Data_Long!$B$6:$B$243,$A78,Data_Long!$F$6:$F$243,"DERIVED")&gt;0,"DERIVED","FACT"))</f>
        <v>not published</v>
      </c>
      <c r="E78" s="17" t="str">
        <f aca="false">IF(COUNTIFS(Data_Long!$A$6:$A$243,E$5,Data_Long!$B$6:$B$243,$A78)=0,"not published",IF(COUNTIFS(Data_Long!$A$6:$A$243,E$5,Data_Long!$B$6:$B$243,$A78,Data_Long!$F$6:$F$243,"DERIVED")&gt;0,"DERIVED","FACT"))</f>
        <v>not published</v>
      </c>
      <c r="F78" s="17" t="str">
        <f aca="false">IF(COUNTIFS(Data_Long!$A$6:$A$243,F$5,Data_Long!$B$6:$B$243,$A78)=0,"not published",IF(COUNTIFS(Data_Long!$A$6:$A$243,F$5,Data_Long!$B$6:$B$243,$A78,Data_Long!$F$6:$F$243,"DERIVED")&gt;0,"DERIVED","FACT"))</f>
        <v>FACT</v>
      </c>
      <c r="G78" s="17" t="str">
        <f aca="false">IF(COUNTIFS(Data_Long!$A$6:$A$243,G$5,Data_Long!$B$6:$B$243,$A78)=0,"not published",IF(COUNTIFS(Data_Long!$A$6:$A$243,G$5,Data_Long!$B$6:$B$243,$A78,Data_Long!$F$6:$F$243,"DERIVED")&gt;0,"DERIVED","FACT"))</f>
        <v>DERIVED</v>
      </c>
      <c r="H78" s="17" t="str">
        <f aca="false">IF(COUNTIFS(Data_Long!$A$6:$A$243,H$5,Data_Long!$B$6:$B$243,$A78)=0,"not published",IF(COUNTIFS(Data_Long!$A$6:$A$243,H$5,Data_Long!$B$6:$B$243,$A78,Data_Long!$F$6:$F$243,"DERIVED")&gt;0,"DERIVED","FACT"))</f>
        <v>FACT</v>
      </c>
      <c r="I78" s="17" t="str">
        <f aca="false">IF(COUNTIFS(Data_Long!$A$6:$A$243,I$5,Data_Long!$B$6:$B$243,$A78)=0,"not published",IF(COUNTIFS(Data_Long!$A$6:$A$243,I$5,Data_Long!$B$6:$B$243,$A78,Data_Long!$F$6:$F$243,"DERIVED")&gt;0,"DERIVED","FACT"))</f>
        <v>DERIVED</v>
      </c>
      <c r="J78" s="17" t="str">
        <f aca="false">IF(COUNTIFS(Data_Long!$A$6:$A$243,J$5,Data_Long!$B$6:$B$243,$A78)=0,"not published",IF(COUNTIFS(Data_Long!$A$6:$A$243,J$5,Data_Long!$B$6:$B$243,$A78,Data_Long!$F$6:$F$243,"DERIVED")&gt;0,"DERIVED","FACT"))</f>
        <v>FACT</v>
      </c>
    </row>
    <row r="79" customFormat="false" ht="15" hidden="false" customHeight="false" outlineLevel="0" collapsed="false">
      <c r="A79" s="6" t="s">
        <v>156</v>
      </c>
      <c r="B79" s="6" t="s">
        <v>157</v>
      </c>
      <c r="D79" s="17" t="str">
        <f aca="false">IF(COUNTIFS(Data_Long!$A$6:$A$243,D$5,Data_Long!$B$6:$B$243,$A79)=0,"not published",IF(COUNTIFS(Data_Long!$A$6:$A$243,D$5,Data_Long!$B$6:$B$243,$A79,Data_Long!$F$6:$F$243,"DERIVED")&gt;0,"DERIVED","FACT"))</f>
        <v>not published</v>
      </c>
      <c r="E79" s="17" t="str">
        <f aca="false">IF(COUNTIFS(Data_Long!$A$6:$A$243,E$5,Data_Long!$B$6:$B$243,$A79)=0,"not published",IF(COUNTIFS(Data_Long!$A$6:$A$243,E$5,Data_Long!$B$6:$B$243,$A79,Data_Long!$F$6:$F$243,"DERIVED")&gt;0,"DERIVED","FACT"))</f>
        <v>not published</v>
      </c>
      <c r="F79" s="17" t="str">
        <f aca="false">IF(COUNTIFS(Data_Long!$A$6:$A$243,F$5,Data_Long!$B$6:$B$243,$A79)=0,"not published",IF(COUNTIFS(Data_Long!$A$6:$A$243,F$5,Data_Long!$B$6:$B$243,$A79,Data_Long!$F$6:$F$243,"DERIVED")&gt;0,"DERIVED","FACT"))</f>
        <v>FACT</v>
      </c>
      <c r="G79" s="17" t="str">
        <f aca="false">IF(COUNTIFS(Data_Long!$A$6:$A$243,G$5,Data_Long!$B$6:$B$243,$A79)=0,"not published",IF(COUNTIFS(Data_Long!$A$6:$A$243,G$5,Data_Long!$B$6:$B$243,$A79,Data_Long!$F$6:$F$243,"DERIVED")&gt;0,"DERIVED","FACT"))</f>
        <v>DERIVED</v>
      </c>
      <c r="H79" s="17" t="str">
        <f aca="false">IF(COUNTIFS(Data_Long!$A$6:$A$243,H$5,Data_Long!$B$6:$B$243,$A79)=0,"not published",IF(COUNTIFS(Data_Long!$A$6:$A$243,H$5,Data_Long!$B$6:$B$243,$A79,Data_Long!$F$6:$F$243,"DERIVED")&gt;0,"DERIVED","FACT"))</f>
        <v>FACT</v>
      </c>
      <c r="I79" s="17" t="str">
        <f aca="false">IF(COUNTIFS(Data_Long!$A$6:$A$243,I$5,Data_Long!$B$6:$B$243,$A79)=0,"not published",IF(COUNTIFS(Data_Long!$A$6:$A$243,I$5,Data_Long!$B$6:$B$243,$A79,Data_Long!$F$6:$F$243,"DERIVED")&gt;0,"DERIVED","FACT"))</f>
        <v>DERIVED</v>
      </c>
      <c r="J79" s="17" t="str">
        <f aca="false">IF(COUNTIFS(Data_Long!$A$6:$A$243,J$5,Data_Long!$B$6:$B$243,$A79)=0,"not published",IF(COUNTIFS(Data_Long!$A$6:$A$243,J$5,Data_Long!$B$6:$B$243,$A79,Data_Long!$F$6:$F$243,"DERIVED")&gt;0,"DERIVED","FACT"))</f>
        <v>FACT</v>
      </c>
    </row>
    <row r="80" customFormat="false" ht="15" hidden="false" customHeight="false" outlineLevel="0" collapsed="false">
      <c r="A80" s="6" t="s">
        <v>158</v>
      </c>
      <c r="B80" s="6" t="s">
        <v>159</v>
      </c>
      <c r="D80" s="17" t="str">
        <f aca="false">IF(COUNTIFS(Data_Long!$A$6:$A$243,D$5,Data_Long!$B$6:$B$243,$A80)=0,"not published",IF(COUNTIFS(Data_Long!$A$6:$A$243,D$5,Data_Long!$B$6:$B$243,$A80,Data_Long!$F$6:$F$243,"DERIVED")&gt;0,"DERIVED","FACT"))</f>
        <v>not published</v>
      </c>
      <c r="E80" s="17" t="str">
        <f aca="false">IF(COUNTIFS(Data_Long!$A$6:$A$243,E$5,Data_Long!$B$6:$B$243,$A80)=0,"not published",IF(COUNTIFS(Data_Long!$A$6:$A$243,E$5,Data_Long!$B$6:$B$243,$A80,Data_Long!$F$6:$F$243,"DERIVED")&gt;0,"DERIVED","FACT"))</f>
        <v>not published</v>
      </c>
      <c r="F80" s="17" t="str">
        <f aca="false">IF(COUNTIFS(Data_Long!$A$6:$A$243,F$5,Data_Long!$B$6:$B$243,$A80)=0,"not published",IF(COUNTIFS(Data_Long!$A$6:$A$243,F$5,Data_Long!$B$6:$B$243,$A80,Data_Long!$F$6:$F$243,"DERIVED")&gt;0,"DERIVED","FACT"))</f>
        <v>FACT</v>
      </c>
      <c r="G80" s="17" t="str">
        <f aca="false">IF(COUNTIFS(Data_Long!$A$6:$A$243,G$5,Data_Long!$B$6:$B$243,$A80)=0,"not published",IF(COUNTIFS(Data_Long!$A$6:$A$243,G$5,Data_Long!$B$6:$B$243,$A80,Data_Long!$F$6:$F$243,"DERIVED")&gt;0,"DERIVED","FACT"))</f>
        <v>DERIVED</v>
      </c>
      <c r="H80" s="17" t="str">
        <f aca="false">IF(COUNTIFS(Data_Long!$A$6:$A$243,H$5,Data_Long!$B$6:$B$243,$A80)=0,"not published",IF(COUNTIFS(Data_Long!$A$6:$A$243,H$5,Data_Long!$B$6:$B$243,$A80,Data_Long!$F$6:$F$243,"DERIVED")&gt;0,"DERIVED","FACT"))</f>
        <v>FACT</v>
      </c>
      <c r="I80" s="17" t="str">
        <f aca="false">IF(COUNTIFS(Data_Long!$A$6:$A$243,I$5,Data_Long!$B$6:$B$243,$A80)=0,"not published",IF(COUNTIFS(Data_Long!$A$6:$A$243,I$5,Data_Long!$B$6:$B$243,$A80,Data_Long!$F$6:$F$243,"DERIVED")&gt;0,"DERIVED","FACT"))</f>
        <v>DERIVED</v>
      </c>
      <c r="J80" s="17" t="str">
        <f aca="false">IF(COUNTIFS(Data_Long!$A$6:$A$243,J$5,Data_Long!$B$6:$B$243,$A80)=0,"not published",IF(COUNTIFS(Data_Long!$A$6:$A$243,J$5,Data_Long!$B$6:$B$243,$A80,Data_Long!$F$6:$F$243,"DERIVED")&gt;0,"DERIVED","FACT"))</f>
        <v>FACT</v>
      </c>
    </row>
    <row r="81" customFormat="false" ht="15" hidden="false" customHeight="false" outlineLevel="0" collapsed="false">
      <c r="A81" s="6" t="s">
        <v>160</v>
      </c>
      <c r="B81" s="6" t="s">
        <v>161</v>
      </c>
      <c r="D81" s="17" t="str">
        <f aca="false">IF(COUNTIFS(Data_Long!$A$6:$A$243,D$5,Data_Long!$B$6:$B$243,$A81)=0,"not published",IF(COUNTIFS(Data_Long!$A$6:$A$243,D$5,Data_Long!$B$6:$B$243,$A81,Data_Long!$F$6:$F$243,"DERIVED")&gt;0,"DERIVED","FACT"))</f>
        <v>not published</v>
      </c>
      <c r="E81" s="17" t="str">
        <f aca="false">IF(COUNTIFS(Data_Long!$A$6:$A$243,E$5,Data_Long!$B$6:$B$243,$A81)=0,"not published",IF(COUNTIFS(Data_Long!$A$6:$A$243,E$5,Data_Long!$B$6:$B$243,$A81,Data_Long!$F$6:$F$243,"DERIVED")&gt;0,"DERIVED","FACT"))</f>
        <v>not published</v>
      </c>
      <c r="F81" s="17" t="str">
        <f aca="false">IF(COUNTIFS(Data_Long!$A$6:$A$243,F$5,Data_Long!$B$6:$B$243,$A81)=0,"not published",IF(COUNTIFS(Data_Long!$A$6:$A$243,F$5,Data_Long!$B$6:$B$243,$A81,Data_Long!$F$6:$F$243,"DERIVED")&gt;0,"DERIVED","FACT"))</f>
        <v>FACT</v>
      </c>
      <c r="G81" s="17" t="str">
        <f aca="false">IF(COUNTIFS(Data_Long!$A$6:$A$243,G$5,Data_Long!$B$6:$B$243,$A81)=0,"not published",IF(COUNTIFS(Data_Long!$A$6:$A$243,G$5,Data_Long!$B$6:$B$243,$A81,Data_Long!$F$6:$F$243,"DERIVED")&gt;0,"DERIVED","FACT"))</f>
        <v>DERIVED</v>
      </c>
      <c r="H81" s="17" t="str">
        <f aca="false">IF(COUNTIFS(Data_Long!$A$6:$A$243,H$5,Data_Long!$B$6:$B$243,$A81)=0,"not published",IF(COUNTIFS(Data_Long!$A$6:$A$243,H$5,Data_Long!$B$6:$B$243,$A81,Data_Long!$F$6:$F$243,"DERIVED")&gt;0,"DERIVED","FACT"))</f>
        <v>FACT</v>
      </c>
      <c r="I81" s="17" t="str">
        <f aca="false">IF(COUNTIFS(Data_Long!$A$6:$A$243,I$5,Data_Long!$B$6:$B$243,$A81)=0,"not published",IF(COUNTIFS(Data_Long!$A$6:$A$243,I$5,Data_Long!$B$6:$B$243,$A81,Data_Long!$F$6:$F$243,"DERIVED")&gt;0,"DERIVED","FACT"))</f>
        <v>DERIVED</v>
      </c>
      <c r="J81" s="17" t="str">
        <f aca="false">IF(COUNTIFS(Data_Long!$A$6:$A$243,J$5,Data_Long!$B$6:$B$243,$A81)=0,"not published",IF(COUNTIFS(Data_Long!$A$6:$A$243,J$5,Data_Long!$B$6:$B$243,$A81,Data_Long!$F$6:$F$243,"DERIVED")&gt;0,"DERIVED","FACT"))</f>
        <v>FACT</v>
      </c>
    </row>
    <row r="82" customFormat="false" ht="15" hidden="false" customHeight="false" outlineLevel="0" collapsed="false">
      <c r="A82" s="6" t="s">
        <v>162</v>
      </c>
      <c r="B82" s="6" t="s">
        <v>163</v>
      </c>
      <c r="D82" s="17" t="str">
        <f aca="false">IF(COUNTIFS(Data_Long!$A$6:$A$243,D$5,Data_Long!$B$6:$B$243,$A82)=0,"not published",IF(COUNTIFS(Data_Long!$A$6:$A$243,D$5,Data_Long!$B$6:$B$243,$A82,Data_Long!$F$6:$F$243,"DERIVED")&gt;0,"DERIVED","FACT"))</f>
        <v>not published</v>
      </c>
      <c r="E82" s="17" t="str">
        <f aca="false">IF(COUNTIFS(Data_Long!$A$6:$A$243,E$5,Data_Long!$B$6:$B$243,$A82)=0,"not published",IF(COUNTIFS(Data_Long!$A$6:$A$243,E$5,Data_Long!$B$6:$B$243,$A82,Data_Long!$F$6:$F$243,"DERIVED")&gt;0,"DERIVED","FACT"))</f>
        <v>not published</v>
      </c>
      <c r="F82" s="17" t="str">
        <f aca="false">IF(COUNTIFS(Data_Long!$A$6:$A$243,F$5,Data_Long!$B$6:$B$243,$A82)=0,"not published",IF(COUNTIFS(Data_Long!$A$6:$A$243,F$5,Data_Long!$B$6:$B$243,$A82,Data_Long!$F$6:$F$243,"DERIVED")&gt;0,"DERIVED","FACT"))</f>
        <v>not published</v>
      </c>
      <c r="G82" s="17" t="str">
        <f aca="false">IF(COUNTIFS(Data_Long!$A$6:$A$243,G$5,Data_Long!$B$6:$B$243,$A82)=0,"not published",IF(COUNTIFS(Data_Long!$A$6:$A$243,G$5,Data_Long!$B$6:$B$243,$A82,Data_Long!$F$6:$F$243,"DERIVED")&gt;0,"DERIVED","FACT"))</f>
        <v>not published</v>
      </c>
      <c r="H82" s="17" t="str">
        <f aca="false">IF(COUNTIFS(Data_Long!$A$6:$A$243,H$5,Data_Long!$B$6:$B$243,$A82)=0,"not published",IF(COUNTIFS(Data_Long!$A$6:$A$243,H$5,Data_Long!$B$6:$B$243,$A82,Data_Long!$F$6:$F$243,"DERIVED")&gt;0,"DERIVED","FACT"))</f>
        <v>FACT</v>
      </c>
      <c r="I82" s="17" t="str">
        <f aca="false">IF(COUNTIFS(Data_Long!$A$6:$A$243,I$5,Data_Long!$B$6:$B$243,$A82)=0,"not published",IF(COUNTIFS(Data_Long!$A$6:$A$243,I$5,Data_Long!$B$6:$B$243,$A82,Data_Long!$F$6:$F$243,"DERIVED")&gt;0,"DERIVED","FACT"))</f>
        <v>DERIVED</v>
      </c>
      <c r="J82" s="17" t="str">
        <f aca="false">IF(COUNTIFS(Data_Long!$A$6:$A$243,J$5,Data_Long!$B$6:$B$243,$A82)=0,"not published",IF(COUNTIFS(Data_Long!$A$6:$A$243,J$5,Data_Long!$B$6:$B$243,$A82,Data_Long!$F$6:$F$243,"DERIVED")&gt;0,"DERIVED","FACT"))</f>
        <v>FACT</v>
      </c>
    </row>
    <row r="83" customFormat="false" ht="15" hidden="false" customHeight="false" outlineLevel="0" collapsed="false">
      <c r="A83" s="6" t="s">
        <v>165</v>
      </c>
      <c r="B83" s="6" t="s">
        <v>166</v>
      </c>
      <c r="D83" s="17" t="str">
        <f aca="false">IF(COUNTIFS(Data_Long!$A$6:$A$243,D$5,Data_Long!$B$6:$B$243,$A83)=0,"not published",IF(COUNTIFS(Data_Long!$A$6:$A$243,D$5,Data_Long!$B$6:$B$243,$A83,Data_Long!$F$6:$F$243,"DERIVED")&gt;0,"DERIVED","FACT"))</f>
        <v>FACT</v>
      </c>
      <c r="E83" s="17" t="str">
        <f aca="false">IF(COUNTIFS(Data_Long!$A$6:$A$243,E$5,Data_Long!$B$6:$B$243,$A83)=0,"not published",IF(COUNTIFS(Data_Long!$A$6:$A$243,E$5,Data_Long!$B$6:$B$243,$A83,Data_Long!$F$6:$F$243,"DERIVED")&gt;0,"DERIVED","FACT"))</f>
        <v>DERIVED</v>
      </c>
      <c r="F83" s="17" t="str">
        <f aca="false">IF(COUNTIFS(Data_Long!$A$6:$A$243,F$5,Data_Long!$B$6:$B$243,$A83)=0,"not published",IF(COUNTIFS(Data_Long!$A$6:$A$243,F$5,Data_Long!$B$6:$B$243,$A83,Data_Long!$F$6:$F$243,"DERIVED")&gt;0,"DERIVED","FACT"))</f>
        <v>FACT</v>
      </c>
      <c r="G83" s="17" t="str">
        <f aca="false">IF(COUNTIFS(Data_Long!$A$6:$A$243,G$5,Data_Long!$B$6:$B$243,$A83)=0,"not published",IF(COUNTIFS(Data_Long!$A$6:$A$243,G$5,Data_Long!$B$6:$B$243,$A83,Data_Long!$F$6:$F$243,"DERIVED")&gt;0,"DERIVED","FACT"))</f>
        <v>DERIVED</v>
      </c>
      <c r="H83" s="17" t="str">
        <f aca="false">IF(COUNTIFS(Data_Long!$A$6:$A$243,H$5,Data_Long!$B$6:$B$243,$A83)=0,"not published",IF(COUNTIFS(Data_Long!$A$6:$A$243,H$5,Data_Long!$B$6:$B$243,$A83,Data_Long!$F$6:$F$243,"DERIVED")&gt;0,"DERIVED","FACT"))</f>
        <v>FACT</v>
      </c>
      <c r="I83" s="17" t="str">
        <f aca="false">IF(COUNTIFS(Data_Long!$A$6:$A$243,I$5,Data_Long!$B$6:$B$243,$A83)=0,"not published",IF(COUNTIFS(Data_Long!$A$6:$A$243,I$5,Data_Long!$B$6:$B$243,$A83,Data_Long!$F$6:$F$243,"DERIVED")&gt;0,"DERIVED","FACT"))</f>
        <v>DERIVED</v>
      </c>
      <c r="J83" s="17" t="str">
        <f aca="false">IF(COUNTIFS(Data_Long!$A$6:$A$243,J$5,Data_Long!$B$6:$B$243,$A83)=0,"not published",IF(COUNTIFS(Data_Long!$A$6:$A$243,J$5,Data_Long!$B$6:$B$243,$A83,Data_Long!$F$6:$F$243,"DERIVED")&gt;0,"DERIVED","FACT"))</f>
        <v>FACT</v>
      </c>
    </row>
    <row r="84" customFormat="false" ht="15" hidden="false" customHeight="false" outlineLevel="0" collapsed="false">
      <c r="A84" s="6" t="s">
        <v>168</v>
      </c>
      <c r="B84" s="6" t="s">
        <v>169</v>
      </c>
      <c r="D84" s="17" t="str">
        <f aca="false">IF(COUNTIFS(Data_Long!$A$6:$A$243,D$5,Data_Long!$B$6:$B$243,$A84)=0,"not published",IF(COUNTIFS(Data_Long!$A$6:$A$243,D$5,Data_Long!$B$6:$B$243,$A84,Data_Long!$F$6:$F$243,"DERIVED")&gt;0,"DERIVED","FACT"))</f>
        <v>FACT</v>
      </c>
      <c r="E84" s="17" t="str">
        <f aca="false">IF(COUNTIFS(Data_Long!$A$6:$A$243,E$5,Data_Long!$B$6:$B$243,$A84)=0,"not published",IF(COUNTIFS(Data_Long!$A$6:$A$243,E$5,Data_Long!$B$6:$B$243,$A84,Data_Long!$F$6:$F$243,"DERIVED")&gt;0,"DERIVED","FACT"))</f>
        <v>DERIVED</v>
      </c>
      <c r="F84" s="17" t="str">
        <f aca="false">IF(COUNTIFS(Data_Long!$A$6:$A$243,F$5,Data_Long!$B$6:$B$243,$A84)=0,"not published",IF(COUNTIFS(Data_Long!$A$6:$A$243,F$5,Data_Long!$B$6:$B$243,$A84,Data_Long!$F$6:$F$243,"DERIVED")&gt;0,"DERIVED","FACT"))</f>
        <v>FACT</v>
      </c>
      <c r="G84" s="17" t="str">
        <f aca="false">IF(COUNTIFS(Data_Long!$A$6:$A$243,G$5,Data_Long!$B$6:$B$243,$A84)=0,"not published",IF(COUNTIFS(Data_Long!$A$6:$A$243,G$5,Data_Long!$B$6:$B$243,$A84,Data_Long!$F$6:$F$243,"DERIVED")&gt;0,"DERIVED","FACT"))</f>
        <v>DERIVED</v>
      </c>
      <c r="H84" s="17" t="str">
        <f aca="false">IF(COUNTIFS(Data_Long!$A$6:$A$243,H$5,Data_Long!$B$6:$B$243,$A84)=0,"not published",IF(COUNTIFS(Data_Long!$A$6:$A$243,H$5,Data_Long!$B$6:$B$243,$A84,Data_Long!$F$6:$F$243,"DERIVED")&gt;0,"DERIVED","FACT"))</f>
        <v>FACT</v>
      </c>
      <c r="I84" s="17" t="str">
        <f aca="false">IF(COUNTIFS(Data_Long!$A$6:$A$243,I$5,Data_Long!$B$6:$B$243,$A84)=0,"not published",IF(COUNTIFS(Data_Long!$A$6:$A$243,I$5,Data_Long!$B$6:$B$243,$A84,Data_Long!$F$6:$F$243,"DERIVED")&gt;0,"DERIVED","FACT"))</f>
        <v>DERIVED</v>
      </c>
      <c r="J84" s="17" t="str">
        <f aca="false">IF(COUNTIFS(Data_Long!$A$6:$A$243,J$5,Data_Long!$B$6:$B$243,$A84)=0,"not published",IF(COUNTIFS(Data_Long!$A$6:$A$243,J$5,Data_Long!$B$6:$B$243,$A84,Data_Long!$F$6:$F$243,"DERIVED")&gt;0,"DERIVED","FACT"))</f>
        <v>FACT</v>
      </c>
    </row>
    <row r="85" customFormat="false" ht="15" hidden="false" customHeight="false" outlineLevel="0" collapsed="false">
      <c r="A85" s="6" t="s">
        <v>170</v>
      </c>
      <c r="B85" s="6" t="s">
        <v>171</v>
      </c>
      <c r="D85" s="17" t="str">
        <f aca="false">IF(COUNTIFS(Data_Long!$A$6:$A$243,D$5,Data_Long!$B$6:$B$243,$A85)=0,"not published",IF(COUNTIFS(Data_Long!$A$6:$A$243,D$5,Data_Long!$B$6:$B$243,$A85,Data_Long!$F$6:$F$243,"DERIVED")&gt;0,"DERIVED","FACT"))</f>
        <v>FACT</v>
      </c>
      <c r="E85" s="17" t="str">
        <f aca="false">IF(COUNTIFS(Data_Long!$A$6:$A$243,E$5,Data_Long!$B$6:$B$243,$A85)=0,"not published",IF(COUNTIFS(Data_Long!$A$6:$A$243,E$5,Data_Long!$B$6:$B$243,$A85,Data_Long!$F$6:$F$243,"DERIVED")&gt;0,"DERIVED","FACT"))</f>
        <v>not published</v>
      </c>
      <c r="F85" s="17" t="str">
        <f aca="false">IF(COUNTIFS(Data_Long!$A$6:$A$243,F$5,Data_Long!$B$6:$B$243,$A85)=0,"not published",IF(COUNTIFS(Data_Long!$A$6:$A$243,F$5,Data_Long!$B$6:$B$243,$A85,Data_Long!$F$6:$F$243,"DERIVED")&gt;0,"DERIVED","FACT"))</f>
        <v>FACT</v>
      </c>
      <c r="G85" s="17" t="str">
        <f aca="false">IF(COUNTIFS(Data_Long!$A$6:$A$243,G$5,Data_Long!$B$6:$B$243,$A85)=0,"not published",IF(COUNTIFS(Data_Long!$A$6:$A$243,G$5,Data_Long!$B$6:$B$243,$A85,Data_Long!$F$6:$F$243,"DERIVED")&gt;0,"DERIVED","FACT"))</f>
        <v>not published</v>
      </c>
      <c r="H85" s="17" t="str">
        <f aca="false">IF(COUNTIFS(Data_Long!$A$6:$A$243,H$5,Data_Long!$B$6:$B$243,$A85)=0,"not published",IF(COUNTIFS(Data_Long!$A$6:$A$243,H$5,Data_Long!$B$6:$B$243,$A85,Data_Long!$F$6:$F$243,"DERIVED")&gt;0,"DERIVED","FACT"))</f>
        <v>FACT</v>
      </c>
      <c r="I85" s="17" t="str">
        <f aca="false">IF(COUNTIFS(Data_Long!$A$6:$A$243,I$5,Data_Long!$B$6:$B$243,$A85)=0,"not published",IF(COUNTIFS(Data_Long!$A$6:$A$243,I$5,Data_Long!$B$6:$B$243,$A85,Data_Long!$F$6:$F$243,"DERIVED")&gt;0,"DERIVED","FACT"))</f>
        <v>not published</v>
      </c>
      <c r="J85" s="17" t="str">
        <f aca="false">IF(COUNTIFS(Data_Long!$A$6:$A$243,J$5,Data_Long!$B$6:$B$243,$A85)=0,"not published",IF(COUNTIFS(Data_Long!$A$6:$A$243,J$5,Data_Long!$B$6:$B$243,$A85,Data_Long!$F$6:$F$243,"DERIVED")&gt;0,"DERIVED","FACT"))</f>
        <v>FACT</v>
      </c>
    </row>
    <row r="86" customFormat="false" ht="15" hidden="false" customHeight="false" outlineLevel="0" collapsed="false">
      <c r="A86" s="6" t="s">
        <v>174</v>
      </c>
      <c r="B86" s="6" t="s">
        <v>175</v>
      </c>
      <c r="D86" s="17" t="str">
        <f aca="false">IF(COUNTIFS(Data_Long!$A$6:$A$243,D$5,Data_Long!$B$6:$B$243,$A86)=0,"not published",IF(COUNTIFS(Data_Long!$A$6:$A$243,D$5,Data_Long!$B$6:$B$243,$A86,Data_Long!$F$6:$F$243,"DERIVED")&gt;0,"DERIVED","FACT"))</f>
        <v>FACT</v>
      </c>
      <c r="E86" s="17" t="str">
        <f aca="false">IF(COUNTIFS(Data_Long!$A$6:$A$243,E$5,Data_Long!$B$6:$B$243,$A86)=0,"not published",IF(COUNTIFS(Data_Long!$A$6:$A$243,E$5,Data_Long!$B$6:$B$243,$A86,Data_Long!$F$6:$F$243,"DERIVED")&gt;0,"DERIVED","FACT"))</f>
        <v>not published</v>
      </c>
      <c r="F86" s="17" t="str">
        <f aca="false">IF(COUNTIFS(Data_Long!$A$6:$A$243,F$5,Data_Long!$B$6:$B$243,$A86)=0,"not published",IF(COUNTIFS(Data_Long!$A$6:$A$243,F$5,Data_Long!$B$6:$B$243,$A86,Data_Long!$F$6:$F$243,"DERIVED")&gt;0,"DERIVED","FACT"))</f>
        <v>FACT</v>
      </c>
      <c r="G86" s="17" t="str">
        <f aca="false">IF(COUNTIFS(Data_Long!$A$6:$A$243,G$5,Data_Long!$B$6:$B$243,$A86)=0,"not published",IF(COUNTIFS(Data_Long!$A$6:$A$243,G$5,Data_Long!$B$6:$B$243,$A86,Data_Long!$F$6:$F$243,"DERIVED")&gt;0,"DERIVED","FACT"))</f>
        <v>not published</v>
      </c>
      <c r="H86" s="17" t="str">
        <f aca="false">IF(COUNTIFS(Data_Long!$A$6:$A$243,H$5,Data_Long!$B$6:$B$243,$A86)=0,"not published",IF(COUNTIFS(Data_Long!$A$6:$A$243,H$5,Data_Long!$B$6:$B$243,$A86,Data_Long!$F$6:$F$243,"DERIVED")&gt;0,"DERIVED","FACT"))</f>
        <v>FACT</v>
      </c>
      <c r="I86" s="17" t="str">
        <f aca="false">IF(COUNTIFS(Data_Long!$A$6:$A$243,I$5,Data_Long!$B$6:$B$243,$A86)=0,"not published",IF(COUNTIFS(Data_Long!$A$6:$A$243,I$5,Data_Long!$B$6:$B$243,$A86,Data_Long!$F$6:$F$243,"DERIVED")&gt;0,"DERIVED","FACT"))</f>
        <v>not published</v>
      </c>
      <c r="J86" s="17" t="str">
        <f aca="false">IF(COUNTIFS(Data_Long!$A$6:$A$243,J$5,Data_Long!$B$6:$B$243,$A86)=0,"not published",IF(COUNTIFS(Data_Long!$A$6:$A$243,J$5,Data_Long!$B$6:$B$243,$A86,Data_Long!$F$6:$F$243,"DERIVED")&gt;0,"DERIVED","FACT"))</f>
        <v>FACT</v>
      </c>
    </row>
  </sheetData>
  <conditionalFormatting sqref="D6:J44">
    <cfRule type="expression" priority="2" aboveAverage="0" equalAverage="0" bottom="0" percent="0" rank="0" text="" dxfId="0">
      <formula>D48="DERIVED"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5A5A5"/>
    <pageSetUpPr fitToPage="true"/>
  </sheetPr>
  <dimension ref="A1:M243"/>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8"/>
    <col collapsed="false" customWidth="true" hidden="false" outlineLevel="0" max="3" min="3" style="0" width="44"/>
    <col collapsed="false" customWidth="true" hidden="false" outlineLevel="0" max="4" min="4" style="0" width="16"/>
    <col collapsed="false" customWidth="true" hidden="false" outlineLevel="0" max="6" min="5" style="0" width="9"/>
    <col collapsed="false" customWidth="true" hidden="false" outlineLevel="0" max="7" min="7" style="0" width="12"/>
    <col collapsed="false" customWidth="true" hidden="false" outlineLevel="0" max="8" min="8" style="0" width="9"/>
    <col collapsed="false" customWidth="true" hidden="false" outlineLevel="0" max="9" min="9" style="0" width="70"/>
    <col collapsed="false" customWidth="true" hidden="false" outlineLevel="0" max="10" min="10" style="0" width="36"/>
    <col collapsed="false" customWidth="true" hidden="false" outlineLevel="0" max="11" min="11" style="0" width="12"/>
    <col collapsed="false" customWidth="true" hidden="false" outlineLevel="0" max="12" min="12" style="0" width="16"/>
    <col collapsed="false" customWidth="true" hidden="false" outlineLevel="0" max="13" min="13" style="0" width="12"/>
  </cols>
  <sheetData>
    <row r="1" customFormat="false" ht="17.35" hidden="false" customHeight="false" outlineLevel="0" collapsed="false">
      <c r="A1" s="1" t="s">
        <v>178</v>
      </c>
    </row>
    <row r="2" customFormat="false" ht="15" hidden="false" customHeight="false" outlineLevel="0" collapsed="false">
      <c r="A2" s="2" t="s">
        <v>179</v>
      </c>
    </row>
    <row r="3" customFormat="false" ht="15" hidden="false" customHeight="false" outlineLevel="0" collapsed="false">
      <c r="A3" s="2" t="s">
        <v>180</v>
      </c>
    </row>
    <row r="5" customFormat="false" ht="23.85" hidden="false" customHeight="false" outlineLevel="0" collapsed="false">
      <c r="A5" s="13" t="s">
        <v>181</v>
      </c>
      <c r="B5" s="13" t="s">
        <v>70</v>
      </c>
      <c r="C5" s="13" t="s">
        <v>182</v>
      </c>
      <c r="D5" s="13" t="s">
        <v>183</v>
      </c>
      <c r="E5" s="13" t="s">
        <v>184</v>
      </c>
      <c r="F5" s="13" t="s">
        <v>185</v>
      </c>
      <c r="G5" s="13" t="s">
        <v>186</v>
      </c>
      <c r="H5" s="13" t="s">
        <v>187</v>
      </c>
      <c r="I5" s="13" t="s">
        <v>188</v>
      </c>
      <c r="J5" s="13" t="s">
        <v>189</v>
      </c>
      <c r="K5" s="13" t="s">
        <v>190</v>
      </c>
      <c r="L5" s="13" t="s">
        <v>191</v>
      </c>
      <c r="M5" s="13" t="s">
        <v>192</v>
      </c>
    </row>
    <row r="6" customFormat="false" ht="15" hidden="false" customHeight="false" outlineLevel="0" collapsed="false">
      <c r="A6" s="6" t="s">
        <v>73</v>
      </c>
      <c r="B6" s="6" t="s">
        <v>97</v>
      </c>
      <c r="C6" s="6" t="s">
        <v>98</v>
      </c>
      <c r="D6" s="18" t="n">
        <v>18892</v>
      </c>
      <c r="E6" s="6" t="s">
        <v>83</v>
      </c>
      <c r="F6" s="6" t="s">
        <v>193</v>
      </c>
      <c r="G6" s="6" t="s">
        <v>194</v>
      </c>
      <c r="H6" s="6" t="s">
        <v>195</v>
      </c>
      <c r="I6" s="6" t="s">
        <v>196</v>
      </c>
      <c r="J6" s="6" t="s">
        <v>197</v>
      </c>
      <c r="K6" s="6" t="n">
        <f aca="false">COUNTIFS($A$6:$A$243,A6,$B$6:$B$243,B6)</f>
        <v>1</v>
      </c>
      <c r="L6" s="19" t="n">
        <f aca="false">IF(COUNTIF(Data_Panel!$A$6:$A$44,B6)=0,"not in panel",IF(A6=Data_Panel!$D$5,SUMIFS(Data_Panel!$D$6:$D$44,Data_Panel!$A$6:$A$44,B6),IF(A6=Data_Panel!$E$5,SUMIFS(Data_Panel!$E$6:$E$44,Data_Panel!$A$6:$A$44,B6),IF(A6=Data_Panel!$F$5,SUMIFS(Data_Panel!$F$6:$F$44,Data_Panel!$A$6:$A$44,B6),IF(A6=Data_Panel!$G$5,SUMIFS(Data_Panel!$G$6:$G$44,Data_Panel!$A$6:$A$44,B6),IF(A6=Data_Panel!$H$5,SUMIFS(Data_Panel!$H$6:$H$44,Data_Panel!$A$6:$A$44,B6),IF(A6=Data_Panel!$I$5,SUMIFS(Data_Panel!$I$6:$I$44,Data_Panel!$A$6:$A$44,B6),IF(A6=Data_Panel!$J$5,SUMIFS(Data_Panel!$J$6:$J$44,Data_Panel!$A$6:$A$44,B6),"period not in panel"))))))))</f>
        <v>18892</v>
      </c>
      <c r="M6" s="20" t="n">
        <f aca="false">IF(L6="not in panel",0,ABS(N(L6)-D6))</f>
        <v>0</v>
      </c>
    </row>
    <row r="7" customFormat="false" ht="15" hidden="false" customHeight="false" outlineLevel="0" collapsed="false">
      <c r="A7" s="6" t="s">
        <v>73</v>
      </c>
      <c r="B7" s="6" t="s">
        <v>100</v>
      </c>
      <c r="C7" s="6" t="s">
        <v>101</v>
      </c>
      <c r="D7" s="18" t="n">
        <v>3653</v>
      </c>
      <c r="E7" s="6" t="s">
        <v>83</v>
      </c>
      <c r="F7" s="6" t="s">
        <v>193</v>
      </c>
      <c r="G7" s="6" t="s">
        <v>194</v>
      </c>
      <c r="H7" s="6" t="s">
        <v>195</v>
      </c>
      <c r="I7" s="6" t="s">
        <v>196</v>
      </c>
      <c r="J7" s="6" t="s">
        <v>197</v>
      </c>
      <c r="K7" s="6" t="n">
        <f aca="false">COUNTIFS($A$6:$A$243,A7,$B$6:$B$243,B7)</f>
        <v>1</v>
      </c>
      <c r="L7" s="19" t="n">
        <f aca="false">IF(COUNTIF(Data_Panel!$A$6:$A$44,B7)=0,"not in panel",IF(A7=Data_Panel!$D$5,SUMIFS(Data_Panel!$D$6:$D$44,Data_Panel!$A$6:$A$44,B7),IF(A7=Data_Panel!$E$5,SUMIFS(Data_Panel!$E$6:$E$44,Data_Panel!$A$6:$A$44,B7),IF(A7=Data_Panel!$F$5,SUMIFS(Data_Panel!$F$6:$F$44,Data_Panel!$A$6:$A$44,B7),IF(A7=Data_Panel!$G$5,SUMIFS(Data_Panel!$G$6:$G$44,Data_Panel!$A$6:$A$44,B7),IF(A7=Data_Panel!$H$5,SUMIFS(Data_Panel!$H$6:$H$44,Data_Panel!$A$6:$A$44,B7),IF(A7=Data_Panel!$I$5,SUMIFS(Data_Panel!$I$6:$I$44,Data_Panel!$A$6:$A$44,B7),IF(A7=Data_Panel!$J$5,SUMIFS(Data_Panel!$J$6:$J$44,Data_Panel!$A$6:$A$44,B7),"period not in panel"))))))))</f>
        <v>3653</v>
      </c>
      <c r="M7" s="20" t="n">
        <f aca="false">IF(L7="not in panel",0,ABS(N(L7)-D7))</f>
        <v>0</v>
      </c>
    </row>
    <row r="8" customFormat="false" ht="15" hidden="false" customHeight="false" outlineLevel="0" collapsed="false">
      <c r="A8" s="6" t="s">
        <v>73</v>
      </c>
      <c r="B8" s="6" t="s">
        <v>102</v>
      </c>
      <c r="C8" s="6" t="s">
        <v>103</v>
      </c>
      <c r="D8" s="18" t="n">
        <v>4829</v>
      </c>
      <c r="E8" s="6" t="s">
        <v>83</v>
      </c>
      <c r="F8" s="6" t="s">
        <v>193</v>
      </c>
      <c r="G8" s="6" t="s">
        <v>194</v>
      </c>
      <c r="H8" s="6" t="s">
        <v>195</v>
      </c>
      <c r="I8" s="6" t="s">
        <v>196</v>
      </c>
      <c r="J8" s="6" t="s">
        <v>197</v>
      </c>
      <c r="K8" s="6" t="n">
        <f aca="false">COUNTIFS($A$6:$A$243,A8,$B$6:$B$243,B8)</f>
        <v>1</v>
      </c>
      <c r="L8" s="19" t="n">
        <f aca="false">IF(COUNTIF(Data_Panel!$A$6:$A$44,B8)=0,"not in panel",IF(A8=Data_Panel!$D$5,SUMIFS(Data_Panel!$D$6:$D$44,Data_Panel!$A$6:$A$44,B8),IF(A8=Data_Panel!$E$5,SUMIFS(Data_Panel!$E$6:$E$44,Data_Panel!$A$6:$A$44,B8),IF(A8=Data_Panel!$F$5,SUMIFS(Data_Panel!$F$6:$F$44,Data_Panel!$A$6:$A$44,B8),IF(A8=Data_Panel!$G$5,SUMIFS(Data_Panel!$G$6:$G$44,Data_Panel!$A$6:$A$44,B8),IF(A8=Data_Panel!$H$5,SUMIFS(Data_Panel!$H$6:$H$44,Data_Panel!$A$6:$A$44,B8),IF(A8=Data_Panel!$I$5,SUMIFS(Data_Panel!$I$6:$I$44,Data_Panel!$A$6:$A$44,B8),IF(A8=Data_Panel!$J$5,SUMIFS(Data_Panel!$J$6:$J$44,Data_Panel!$A$6:$A$44,B8),"period not in panel"))))))))</f>
        <v>4829</v>
      </c>
      <c r="M8" s="20" t="n">
        <f aca="false">IF(L8="not in panel",0,ABS(N(L8)-D8))</f>
        <v>0</v>
      </c>
    </row>
    <row r="9" customFormat="false" ht="15" hidden="false" customHeight="false" outlineLevel="0" collapsed="false">
      <c r="A9" s="6" t="s">
        <v>73</v>
      </c>
      <c r="B9" s="6" t="s">
        <v>104</v>
      </c>
      <c r="C9" s="6" t="s">
        <v>198</v>
      </c>
      <c r="D9" s="18" t="n">
        <v>25.6</v>
      </c>
      <c r="E9" s="6" t="s">
        <v>106</v>
      </c>
      <c r="F9" s="6" t="s">
        <v>193</v>
      </c>
      <c r="G9" s="6" t="s">
        <v>194</v>
      </c>
      <c r="H9" s="6" t="s">
        <v>195</v>
      </c>
      <c r="I9" s="6" t="s">
        <v>196</v>
      </c>
      <c r="J9" s="6" t="s">
        <v>199</v>
      </c>
      <c r="K9" s="6" t="n">
        <f aca="false">COUNTIFS($A$6:$A$243,A9,$B$6:$B$243,B9)</f>
        <v>1</v>
      </c>
      <c r="L9" s="19" t="n">
        <f aca="false">IF(COUNTIF(Data_Panel!$A$6:$A$44,B9)=0,"not in panel",IF(A9=Data_Panel!$D$5,SUMIFS(Data_Panel!$D$6:$D$44,Data_Panel!$A$6:$A$44,B9),IF(A9=Data_Panel!$E$5,SUMIFS(Data_Panel!$E$6:$E$44,Data_Panel!$A$6:$A$44,B9),IF(A9=Data_Panel!$F$5,SUMIFS(Data_Panel!$F$6:$F$44,Data_Panel!$A$6:$A$44,B9),IF(A9=Data_Panel!$G$5,SUMIFS(Data_Panel!$G$6:$G$44,Data_Panel!$A$6:$A$44,B9),IF(A9=Data_Panel!$H$5,SUMIFS(Data_Panel!$H$6:$H$44,Data_Panel!$A$6:$A$44,B9),IF(A9=Data_Panel!$I$5,SUMIFS(Data_Panel!$I$6:$I$44,Data_Panel!$A$6:$A$44,B9),IF(A9=Data_Panel!$J$5,SUMIFS(Data_Panel!$J$6:$J$44,Data_Panel!$A$6:$A$44,B9),"period not in panel"))))))))</f>
        <v>25.6</v>
      </c>
      <c r="M9" s="20" t="n">
        <f aca="false">IF(L9="not in panel",0,ABS(N(L9)-D9))</f>
        <v>0</v>
      </c>
    </row>
    <row r="10" customFormat="false" ht="15" hidden="false" customHeight="false" outlineLevel="0" collapsed="false">
      <c r="A10" s="6" t="s">
        <v>73</v>
      </c>
      <c r="B10" s="6" t="s">
        <v>108</v>
      </c>
      <c r="C10" s="6" t="s">
        <v>109</v>
      </c>
      <c r="D10" s="18" t="n">
        <v>1545</v>
      </c>
      <c r="E10" s="6" t="s">
        <v>83</v>
      </c>
      <c r="F10" s="6" t="s">
        <v>193</v>
      </c>
      <c r="G10" s="6" t="s">
        <v>194</v>
      </c>
      <c r="H10" s="6" t="s">
        <v>195</v>
      </c>
      <c r="I10" s="6" t="s">
        <v>200</v>
      </c>
      <c r="J10" s="6" t="s">
        <v>197</v>
      </c>
      <c r="K10" s="6" t="n">
        <f aca="false">COUNTIFS($A$6:$A$243,A10,$B$6:$B$243,B10)</f>
        <v>1</v>
      </c>
      <c r="L10" s="19" t="n">
        <f aca="false">IF(COUNTIF(Data_Panel!$A$6:$A$44,B10)=0,"not in panel",IF(A10=Data_Panel!$D$5,SUMIFS(Data_Panel!$D$6:$D$44,Data_Panel!$A$6:$A$44,B10),IF(A10=Data_Panel!$E$5,SUMIFS(Data_Panel!$E$6:$E$44,Data_Panel!$A$6:$A$44,B10),IF(A10=Data_Panel!$F$5,SUMIFS(Data_Panel!$F$6:$F$44,Data_Panel!$A$6:$A$44,B10),IF(A10=Data_Panel!$G$5,SUMIFS(Data_Panel!$G$6:$G$44,Data_Panel!$A$6:$A$44,B10),IF(A10=Data_Panel!$H$5,SUMIFS(Data_Panel!$H$6:$H$44,Data_Panel!$A$6:$A$44,B10),IF(A10=Data_Panel!$I$5,SUMIFS(Data_Panel!$I$6:$I$44,Data_Panel!$A$6:$A$44,B10),IF(A10=Data_Panel!$J$5,SUMIFS(Data_Panel!$J$6:$J$44,Data_Panel!$A$6:$A$44,B10),"period not in panel"))))))))</f>
        <v>1545</v>
      </c>
      <c r="M10" s="20" t="n">
        <f aca="false">IF(L10="not in panel",0,ABS(N(L10)-D10))</f>
        <v>0</v>
      </c>
    </row>
    <row r="11" customFormat="false" ht="15" hidden="false" customHeight="false" outlineLevel="0" collapsed="false">
      <c r="A11" s="6" t="s">
        <v>73</v>
      </c>
      <c r="B11" s="6" t="s">
        <v>111</v>
      </c>
      <c r="C11" s="6" t="s">
        <v>201</v>
      </c>
      <c r="D11" s="18" t="n">
        <v>1201</v>
      </c>
      <c r="E11" s="6" t="s">
        <v>83</v>
      </c>
      <c r="F11" s="6" t="s">
        <v>193</v>
      </c>
      <c r="G11" s="6" t="s">
        <v>194</v>
      </c>
      <c r="H11" s="6" t="s">
        <v>195</v>
      </c>
      <c r="I11" s="6" t="s">
        <v>200</v>
      </c>
      <c r="J11" s="6" t="s">
        <v>197</v>
      </c>
      <c r="K11" s="6" t="n">
        <f aca="false">COUNTIFS($A$6:$A$243,A11,$B$6:$B$243,B11)</f>
        <v>1</v>
      </c>
      <c r="L11" s="19" t="n">
        <f aca="false">IF(COUNTIF(Data_Panel!$A$6:$A$44,B11)=0,"not in panel",IF(A11=Data_Panel!$D$5,SUMIFS(Data_Panel!$D$6:$D$44,Data_Panel!$A$6:$A$44,B11),IF(A11=Data_Panel!$E$5,SUMIFS(Data_Panel!$E$6:$E$44,Data_Panel!$A$6:$A$44,B11),IF(A11=Data_Panel!$F$5,SUMIFS(Data_Panel!$F$6:$F$44,Data_Panel!$A$6:$A$44,B11),IF(A11=Data_Panel!$G$5,SUMIFS(Data_Panel!$G$6:$G$44,Data_Panel!$A$6:$A$44,B11),IF(A11=Data_Panel!$H$5,SUMIFS(Data_Panel!$H$6:$H$44,Data_Panel!$A$6:$A$44,B11),IF(A11=Data_Panel!$I$5,SUMIFS(Data_Panel!$I$6:$I$44,Data_Panel!$A$6:$A$44,B11),IF(A11=Data_Panel!$J$5,SUMIFS(Data_Panel!$J$6:$J$44,Data_Panel!$A$6:$A$44,B11),"period not in panel"))))))))</f>
        <v>1201</v>
      </c>
      <c r="M11" s="20" t="n">
        <f aca="false">IF(L11="not in panel",0,ABS(N(L11)-D11))</f>
        <v>0</v>
      </c>
    </row>
    <row r="12" customFormat="false" ht="15" hidden="false" customHeight="false" outlineLevel="0" collapsed="false">
      <c r="A12" s="6" t="s">
        <v>73</v>
      </c>
      <c r="B12" s="6" t="s">
        <v>113</v>
      </c>
      <c r="C12" s="6" t="s">
        <v>202</v>
      </c>
      <c r="D12" s="18" t="n">
        <v>77.7</v>
      </c>
      <c r="E12" s="6" t="s">
        <v>106</v>
      </c>
      <c r="F12" s="6" t="s">
        <v>193</v>
      </c>
      <c r="G12" s="6" t="s">
        <v>194</v>
      </c>
      <c r="H12" s="6" t="s">
        <v>195</v>
      </c>
      <c r="I12" s="6" t="s">
        <v>200</v>
      </c>
      <c r="J12" s="6" t="s">
        <v>199</v>
      </c>
      <c r="K12" s="6" t="n">
        <f aca="false">COUNTIFS($A$6:$A$243,A12,$B$6:$B$243,B12)</f>
        <v>1</v>
      </c>
      <c r="L12" s="19" t="n">
        <f aca="false">IF(COUNTIF(Data_Panel!$A$6:$A$44,B12)=0,"not in panel",IF(A12=Data_Panel!$D$5,SUMIFS(Data_Panel!$D$6:$D$44,Data_Panel!$A$6:$A$44,B12),IF(A12=Data_Panel!$E$5,SUMIFS(Data_Panel!$E$6:$E$44,Data_Panel!$A$6:$A$44,B12),IF(A12=Data_Panel!$F$5,SUMIFS(Data_Panel!$F$6:$F$44,Data_Panel!$A$6:$A$44,B12),IF(A12=Data_Panel!$G$5,SUMIFS(Data_Panel!$G$6:$G$44,Data_Panel!$A$6:$A$44,B12),IF(A12=Data_Panel!$H$5,SUMIFS(Data_Panel!$H$6:$H$44,Data_Panel!$A$6:$A$44,B12),IF(A12=Data_Panel!$I$5,SUMIFS(Data_Panel!$I$6:$I$44,Data_Panel!$A$6:$A$44,B12),IF(A12=Data_Panel!$J$5,SUMIFS(Data_Panel!$J$6:$J$44,Data_Panel!$A$6:$A$44,B12),"period not in panel"))))))))</f>
        <v>77.7</v>
      </c>
      <c r="M12" s="20" t="n">
        <f aca="false">IF(L12="not in panel",0,ABS(N(L12)-D12))</f>
        <v>0</v>
      </c>
    </row>
    <row r="13" customFormat="false" ht="15" hidden="false" customHeight="false" outlineLevel="0" collapsed="false">
      <c r="A13" s="6" t="s">
        <v>73</v>
      </c>
      <c r="B13" s="6" t="s">
        <v>116</v>
      </c>
      <c r="C13" s="6" t="s">
        <v>203</v>
      </c>
      <c r="D13" s="18" t="n">
        <v>343</v>
      </c>
      <c r="E13" s="6" t="s">
        <v>83</v>
      </c>
      <c r="F13" s="6" t="s">
        <v>193</v>
      </c>
      <c r="G13" s="6" t="s">
        <v>194</v>
      </c>
      <c r="H13" s="6" t="s">
        <v>204</v>
      </c>
      <c r="I13" s="6" t="s">
        <v>205</v>
      </c>
      <c r="J13" s="6" t="s">
        <v>197</v>
      </c>
      <c r="K13" s="6" t="n">
        <f aca="false">COUNTIFS($A$6:$A$243,A13,$B$6:$B$243,B13)</f>
        <v>1</v>
      </c>
      <c r="L13" s="19" t="n">
        <f aca="false">IF(COUNTIF(Data_Panel!$A$6:$A$44,B13)=0,"not in panel",IF(A13=Data_Panel!$D$5,SUMIFS(Data_Panel!$D$6:$D$44,Data_Panel!$A$6:$A$44,B13),IF(A13=Data_Panel!$E$5,SUMIFS(Data_Panel!$E$6:$E$44,Data_Panel!$A$6:$A$44,B13),IF(A13=Data_Panel!$F$5,SUMIFS(Data_Panel!$F$6:$F$44,Data_Panel!$A$6:$A$44,B13),IF(A13=Data_Panel!$G$5,SUMIFS(Data_Panel!$G$6:$G$44,Data_Panel!$A$6:$A$44,B13),IF(A13=Data_Panel!$H$5,SUMIFS(Data_Panel!$H$6:$H$44,Data_Panel!$A$6:$A$44,B13),IF(A13=Data_Panel!$I$5,SUMIFS(Data_Panel!$I$6:$I$44,Data_Panel!$A$6:$A$44,B13),IF(A13=Data_Panel!$J$5,SUMIFS(Data_Panel!$J$6:$J$44,Data_Panel!$A$6:$A$44,B13),"period not in panel"))))))))</f>
        <v>343</v>
      </c>
      <c r="M13" s="20" t="n">
        <f aca="false">IF(L13="not in panel",0,ABS(N(L13)-D13))</f>
        <v>0</v>
      </c>
    </row>
    <row r="14" customFormat="false" ht="15" hidden="false" customHeight="false" outlineLevel="0" collapsed="false">
      <c r="A14" s="6" t="s">
        <v>73</v>
      </c>
      <c r="B14" s="6" t="s">
        <v>119</v>
      </c>
      <c r="C14" s="6" t="s">
        <v>120</v>
      </c>
      <c r="D14" s="18" t="n">
        <v>427</v>
      </c>
      <c r="E14" s="6" t="s">
        <v>83</v>
      </c>
      <c r="F14" s="6" t="s">
        <v>193</v>
      </c>
      <c r="G14" s="6" t="s">
        <v>194</v>
      </c>
      <c r="H14" s="6" t="s">
        <v>195</v>
      </c>
      <c r="I14" s="6" t="s">
        <v>200</v>
      </c>
      <c r="J14" s="6" t="s">
        <v>197</v>
      </c>
      <c r="K14" s="6" t="n">
        <f aca="false">COUNTIFS($A$6:$A$243,A14,$B$6:$B$243,B14)</f>
        <v>1</v>
      </c>
      <c r="L14" s="19" t="n">
        <f aca="false">IF(COUNTIF(Data_Panel!$A$6:$A$44,B14)=0,"not in panel",IF(A14=Data_Panel!$D$5,SUMIFS(Data_Panel!$D$6:$D$44,Data_Panel!$A$6:$A$44,B14),IF(A14=Data_Panel!$E$5,SUMIFS(Data_Panel!$E$6:$E$44,Data_Panel!$A$6:$A$44,B14),IF(A14=Data_Panel!$F$5,SUMIFS(Data_Panel!$F$6:$F$44,Data_Panel!$A$6:$A$44,B14),IF(A14=Data_Panel!$G$5,SUMIFS(Data_Panel!$G$6:$G$44,Data_Panel!$A$6:$A$44,B14),IF(A14=Data_Panel!$H$5,SUMIFS(Data_Panel!$H$6:$H$44,Data_Panel!$A$6:$A$44,B14),IF(A14=Data_Panel!$I$5,SUMIFS(Data_Panel!$I$6:$I$44,Data_Panel!$A$6:$A$44,B14),IF(A14=Data_Panel!$J$5,SUMIFS(Data_Panel!$J$6:$J$44,Data_Panel!$A$6:$A$44,B14),"period not in panel"))))))))</f>
        <v>427</v>
      </c>
      <c r="M14" s="20" t="n">
        <f aca="false">IF(L14="not in panel",0,ABS(N(L14)-D14))</f>
        <v>0</v>
      </c>
    </row>
    <row r="15" customFormat="false" ht="15" hidden="false" customHeight="false" outlineLevel="0" collapsed="false">
      <c r="A15" s="6" t="s">
        <v>73</v>
      </c>
      <c r="B15" s="6" t="s">
        <v>121</v>
      </c>
      <c r="C15" s="6" t="s">
        <v>122</v>
      </c>
      <c r="D15" s="18" t="n">
        <v>866</v>
      </c>
      <c r="E15" s="6" t="s">
        <v>83</v>
      </c>
      <c r="F15" s="6" t="s">
        <v>193</v>
      </c>
      <c r="G15" s="6" t="s">
        <v>194</v>
      </c>
      <c r="H15" s="6" t="s">
        <v>195</v>
      </c>
      <c r="I15" s="6" t="s">
        <v>206</v>
      </c>
      <c r="J15" s="6" t="s">
        <v>197</v>
      </c>
      <c r="K15" s="6" t="n">
        <f aca="false">COUNTIFS($A$6:$A$243,A15,$B$6:$B$243,B15)</f>
        <v>1</v>
      </c>
      <c r="L15" s="19" t="n">
        <f aca="false">IF(COUNTIF(Data_Panel!$A$6:$A$44,B15)=0,"not in panel",IF(A15=Data_Panel!$D$5,SUMIFS(Data_Panel!$D$6:$D$44,Data_Panel!$A$6:$A$44,B15),IF(A15=Data_Panel!$E$5,SUMIFS(Data_Panel!$E$6:$E$44,Data_Panel!$A$6:$A$44,B15),IF(A15=Data_Panel!$F$5,SUMIFS(Data_Panel!$F$6:$F$44,Data_Panel!$A$6:$A$44,B15),IF(A15=Data_Panel!$G$5,SUMIFS(Data_Panel!$G$6:$G$44,Data_Panel!$A$6:$A$44,B15),IF(A15=Data_Panel!$H$5,SUMIFS(Data_Panel!$H$6:$H$44,Data_Panel!$A$6:$A$44,B15),IF(A15=Data_Panel!$I$5,SUMIFS(Data_Panel!$I$6:$I$44,Data_Panel!$A$6:$A$44,B15),IF(A15=Data_Panel!$J$5,SUMIFS(Data_Panel!$J$6:$J$44,Data_Panel!$A$6:$A$44,B15),"period not in panel"))))))))</f>
        <v>866</v>
      </c>
      <c r="M15" s="20" t="n">
        <f aca="false">IF(L15="not in panel",0,ABS(N(L15)-D15))</f>
        <v>0</v>
      </c>
    </row>
    <row r="16" customFormat="false" ht="15" hidden="false" customHeight="false" outlineLevel="0" collapsed="false">
      <c r="A16" s="6" t="s">
        <v>73</v>
      </c>
      <c r="B16" s="6" t="s">
        <v>123</v>
      </c>
      <c r="C16" s="6" t="s">
        <v>207</v>
      </c>
      <c r="D16" s="18" t="n">
        <v>749</v>
      </c>
      <c r="E16" s="6" t="s">
        <v>83</v>
      </c>
      <c r="F16" s="6" t="s">
        <v>208</v>
      </c>
      <c r="G16" s="6" t="s">
        <v>209</v>
      </c>
      <c r="H16" s="6"/>
      <c r="I16" s="6" t="s">
        <v>210</v>
      </c>
      <c r="J16" s="6" t="s">
        <v>211</v>
      </c>
      <c r="K16" s="6" t="n">
        <f aca="false">COUNTIFS($A$6:$A$243,A16,$B$6:$B$243,B16)</f>
        <v>1</v>
      </c>
      <c r="L16" s="19" t="n">
        <f aca="false">IF(COUNTIF(Data_Panel!$A$6:$A$44,B16)=0,"not in panel",IF(A16=Data_Panel!$D$5,SUMIFS(Data_Panel!$D$6:$D$44,Data_Panel!$A$6:$A$44,B16),IF(A16=Data_Panel!$E$5,SUMIFS(Data_Panel!$E$6:$E$44,Data_Panel!$A$6:$A$44,B16),IF(A16=Data_Panel!$F$5,SUMIFS(Data_Panel!$F$6:$F$44,Data_Panel!$A$6:$A$44,B16),IF(A16=Data_Panel!$G$5,SUMIFS(Data_Panel!$G$6:$G$44,Data_Panel!$A$6:$A$44,B16),IF(A16=Data_Panel!$H$5,SUMIFS(Data_Panel!$H$6:$H$44,Data_Panel!$A$6:$A$44,B16),IF(A16=Data_Panel!$I$5,SUMIFS(Data_Panel!$I$6:$I$44,Data_Panel!$A$6:$A$44,B16),IF(A16=Data_Panel!$J$5,SUMIFS(Data_Panel!$J$6:$J$44,Data_Panel!$A$6:$A$44,B16),"period not in panel"))))))))</f>
        <v>749</v>
      </c>
      <c r="M16" s="20" t="n">
        <f aca="false">IF(L16="not in panel",0,ABS(N(L16)-D16))</f>
        <v>0</v>
      </c>
    </row>
    <row r="17" customFormat="false" ht="15" hidden="false" customHeight="false" outlineLevel="0" collapsed="false">
      <c r="A17" s="6" t="s">
        <v>73</v>
      </c>
      <c r="B17" s="6" t="s">
        <v>126</v>
      </c>
      <c r="C17" s="6" t="s">
        <v>212</v>
      </c>
      <c r="D17" s="18" t="n">
        <v>1176</v>
      </c>
      <c r="E17" s="6" t="s">
        <v>83</v>
      </c>
      <c r="F17" s="6" t="s">
        <v>193</v>
      </c>
      <c r="G17" s="6" t="s">
        <v>194</v>
      </c>
      <c r="H17" s="6" t="s">
        <v>195</v>
      </c>
      <c r="I17" s="6" t="s">
        <v>196</v>
      </c>
      <c r="J17" s="6" t="s">
        <v>197</v>
      </c>
      <c r="K17" s="6" t="n">
        <f aca="false">COUNTIFS($A$6:$A$243,A17,$B$6:$B$243,B17)</f>
        <v>1</v>
      </c>
      <c r="L17" s="19" t="n">
        <f aca="false">IF(COUNTIF(Data_Panel!$A$6:$A$44,B17)=0,"not in panel",IF(A17=Data_Panel!$D$5,SUMIFS(Data_Panel!$D$6:$D$44,Data_Panel!$A$6:$A$44,B17),IF(A17=Data_Panel!$E$5,SUMIFS(Data_Panel!$E$6:$E$44,Data_Panel!$A$6:$A$44,B17),IF(A17=Data_Panel!$F$5,SUMIFS(Data_Panel!$F$6:$F$44,Data_Panel!$A$6:$A$44,B17),IF(A17=Data_Panel!$G$5,SUMIFS(Data_Panel!$G$6:$G$44,Data_Panel!$A$6:$A$44,B17),IF(A17=Data_Panel!$H$5,SUMIFS(Data_Panel!$H$6:$H$44,Data_Panel!$A$6:$A$44,B17),IF(A17=Data_Panel!$I$5,SUMIFS(Data_Panel!$I$6:$I$44,Data_Panel!$A$6:$A$44,B17),IF(A17=Data_Panel!$J$5,SUMIFS(Data_Panel!$J$6:$J$44,Data_Panel!$A$6:$A$44,B17),"period not in panel"))))))))</f>
        <v>1176</v>
      </c>
      <c r="M17" s="20" t="n">
        <f aca="false">IF(L17="not in panel",0,ABS(N(L17)-D17))</f>
        <v>0</v>
      </c>
    </row>
    <row r="18" customFormat="false" ht="15" hidden="false" customHeight="false" outlineLevel="0" collapsed="false">
      <c r="A18" s="6" t="s">
        <v>73</v>
      </c>
      <c r="B18" s="6" t="s">
        <v>132</v>
      </c>
      <c r="C18" s="6" t="s">
        <v>133</v>
      </c>
      <c r="D18" s="18" t="n">
        <v>2216.980857</v>
      </c>
      <c r="E18" s="6" t="s">
        <v>83</v>
      </c>
      <c r="F18" s="6" t="s">
        <v>193</v>
      </c>
      <c r="G18" s="6" t="s">
        <v>213</v>
      </c>
      <c r="H18" s="6" t="s">
        <v>214</v>
      </c>
      <c r="I18" s="6" t="s">
        <v>215</v>
      </c>
      <c r="J18" s="6" t="s">
        <v>216</v>
      </c>
      <c r="K18" s="6" t="n">
        <f aca="false">COUNTIFS($A$6:$A$243,A18,$B$6:$B$243,B18)</f>
        <v>1</v>
      </c>
      <c r="L18" s="19" t="n">
        <f aca="false">IF(COUNTIF(Data_Panel!$A$6:$A$44,B18)=0,"not in panel",IF(A18=Data_Panel!$D$5,SUMIFS(Data_Panel!$D$6:$D$44,Data_Panel!$A$6:$A$44,B18),IF(A18=Data_Panel!$E$5,SUMIFS(Data_Panel!$E$6:$E$44,Data_Panel!$A$6:$A$44,B18),IF(A18=Data_Panel!$F$5,SUMIFS(Data_Panel!$F$6:$F$44,Data_Panel!$A$6:$A$44,B18),IF(A18=Data_Panel!$G$5,SUMIFS(Data_Panel!$G$6:$G$44,Data_Panel!$A$6:$A$44,B18),IF(A18=Data_Panel!$H$5,SUMIFS(Data_Panel!$H$6:$H$44,Data_Panel!$A$6:$A$44,B18),IF(A18=Data_Panel!$I$5,SUMIFS(Data_Panel!$I$6:$I$44,Data_Panel!$A$6:$A$44,B18),IF(A18=Data_Panel!$J$5,SUMIFS(Data_Panel!$J$6:$J$44,Data_Panel!$A$6:$A$44,B18),"period not in panel"))))))))</f>
        <v>2216.980857</v>
      </c>
      <c r="M18" s="20" t="n">
        <f aca="false">IF(L18="not in panel",0,ABS(N(L18)-D18))</f>
        <v>0</v>
      </c>
    </row>
    <row r="19" customFormat="false" ht="15" hidden="false" customHeight="false" outlineLevel="0" collapsed="false">
      <c r="A19" s="6" t="s">
        <v>73</v>
      </c>
      <c r="B19" s="6" t="s">
        <v>128</v>
      </c>
      <c r="C19" s="6" t="s">
        <v>217</v>
      </c>
      <c r="D19" s="18" t="n">
        <v>4391.684901</v>
      </c>
      <c r="E19" s="6" t="s">
        <v>83</v>
      </c>
      <c r="F19" s="6" t="s">
        <v>193</v>
      </c>
      <c r="G19" s="6" t="s">
        <v>213</v>
      </c>
      <c r="H19" s="6" t="s">
        <v>214</v>
      </c>
      <c r="I19" s="6" t="s">
        <v>218</v>
      </c>
      <c r="J19" s="6" t="s">
        <v>216</v>
      </c>
      <c r="K19" s="6" t="n">
        <f aca="false">COUNTIFS($A$6:$A$243,A19,$B$6:$B$243,B19)</f>
        <v>1</v>
      </c>
      <c r="L19" s="19" t="n">
        <f aca="false">IF(COUNTIF(Data_Panel!$A$6:$A$44,B19)=0,"not in panel",IF(A19=Data_Panel!$D$5,SUMIFS(Data_Panel!$D$6:$D$44,Data_Panel!$A$6:$A$44,B19),IF(A19=Data_Panel!$E$5,SUMIFS(Data_Panel!$E$6:$E$44,Data_Panel!$A$6:$A$44,B19),IF(A19=Data_Panel!$F$5,SUMIFS(Data_Panel!$F$6:$F$44,Data_Panel!$A$6:$A$44,B19),IF(A19=Data_Panel!$G$5,SUMIFS(Data_Panel!$G$6:$G$44,Data_Panel!$A$6:$A$44,B19),IF(A19=Data_Panel!$H$5,SUMIFS(Data_Panel!$H$6:$H$44,Data_Panel!$A$6:$A$44,B19),IF(A19=Data_Panel!$I$5,SUMIFS(Data_Panel!$I$6:$I$44,Data_Panel!$A$6:$A$44,B19),IF(A19=Data_Panel!$J$5,SUMIFS(Data_Panel!$J$6:$J$44,Data_Panel!$A$6:$A$44,B19),"period not in panel"))))))))</f>
        <v>4391.684901</v>
      </c>
      <c r="M19" s="20" t="n">
        <f aca="false">IF(L19="not in panel",0,ABS(N(L19)-D19))</f>
        <v>0</v>
      </c>
    </row>
    <row r="20" customFormat="false" ht="15" hidden="false" customHeight="false" outlineLevel="0" collapsed="false">
      <c r="A20" s="6" t="s">
        <v>73</v>
      </c>
      <c r="B20" s="6" t="s">
        <v>130</v>
      </c>
      <c r="C20" s="6" t="s">
        <v>219</v>
      </c>
      <c r="D20" s="18" t="n">
        <v>-2174.704044</v>
      </c>
      <c r="E20" s="6" t="s">
        <v>83</v>
      </c>
      <c r="F20" s="6" t="s">
        <v>193</v>
      </c>
      <c r="G20" s="6" t="s">
        <v>213</v>
      </c>
      <c r="H20" s="6" t="s">
        <v>214</v>
      </c>
      <c r="I20" s="6" t="s">
        <v>220</v>
      </c>
      <c r="J20" s="6" t="s">
        <v>216</v>
      </c>
      <c r="K20" s="6" t="n">
        <f aca="false">COUNTIFS($A$6:$A$243,A20,$B$6:$B$243,B20)</f>
        <v>1</v>
      </c>
      <c r="L20" s="19" t="n">
        <f aca="false">IF(COUNTIF(Data_Panel!$A$6:$A$44,B20)=0,"not in panel",IF(A20=Data_Panel!$D$5,SUMIFS(Data_Panel!$D$6:$D$44,Data_Panel!$A$6:$A$44,B20),IF(A20=Data_Panel!$E$5,SUMIFS(Data_Panel!$E$6:$E$44,Data_Panel!$A$6:$A$44,B20),IF(A20=Data_Panel!$F$5,SUMIFS(Data_Panel!$F$6:$F$44,Data_Panel!$A$6:$A$44,B20),IF(A20=Data_Panel!$G$5,SUMIFS(Data_Panel!$G$6:$G$44,Data_Panel!$A$6:$A$44,B20),IF(A20=Data_Panel!$H$5,SUMIFS(Data_Panel!$H$6:$H$44,Data_Panel!$A$6:$A$44,B20),IF(A20=Data_Panel!$I$5,SUMIFS(Data_Panel!$I$6:$I$44,Data_Panel!$A$6:$A$44,B20),IF(A20=Data_Panel!$J$5,SUMIFS(Data_Panel!$J$6:$J$44,Data_Panel!$A$6:$A$44,B20),"period not in panel"))))))))</f>
        <v>-2174.704044</v>
      </c>
      <c r="M20" s="20" t="n">
        <f aca="false">IF(L20="not in panel",0,ABS(N(L20)-D20))</f>
        <v>0</v>
      </c>
    </row>
    <row r="21" customFormat="false" ht="15" hidden="false" customHeight="false" outlineLevel="0" collapsed="false">
      <c r="A21" s="6" t="s">
        <v>73</v>
      </c>
      <c r="B21" s="6" t="s">
        <v>134</v>
      </c>
      <c r="C21" s="6" t="s">
        <v>221</v>
      </c>
      <c r="D21" s="18" t="n">
        <v>6432.023429</v>
      </c>
      <c r="E21" s="6" t="s">
        <v>83</v>
      </c>
      <c r="F21" s="6" t="s">
        <v>193</v>
      </c>
      <c r="G21" s="6" t="s">
        <v>213</v>
      </c>
      <c r="H21" s="6" t="s">
        <v>214</v>
      </c>
      <c r="I21" s="6" t="s">
        <v>222</v>
      </c>
      <c r="J21" s="6" t="s">
        <v>216</v>
      </c>
      <c r="K21" s="6" t="n">
        <f aca="false">COUNTIFS($A$6:$A$243,A21,$B$6:$B$243,B21)</f>
        <v>1</v>
      </c>
      <c r="L21" s="19" t="n">
        <f aca="false">IF(COUNTIF(Data_Panel!$A$6:$A$44,B21)=0,"not in panel",IF(A21=Data_Panel!$D$5,SUMIFS(Data_Panel!$D$6:$D$44,Data_Panel!$A$6:$A$44,B21),IF(A21=Data_Panel!$E$5,SUMIFS(Data_Panel!$E$6:$E$44,Data_Panel!$A$6:$A$44,B21),IF(A21=Data_Panel!$F$5,SUMIFS(Data_Panel!$F$6:$F$44,Data_Panel!$A$6:$A$44,B21),IF(A21=Data_Panel!$G$5,SUMIFS(Data_Panel!$G$6:$G$44,Data_Panel!$A$6:$A$44,B21),IF(A21=Data_Panel!$H$5,SUMIFS(Data_Panel!$H$6:$H$44,Data_Panel!$A$6:$A$44,B21),IF(A21=Data_Panel!$I$5,SUMIFS(Data_Panel!$I$6:$I$44,Data_Panel!$A$6:$A$44,B21),IF(A21=Data_Panel!$J$5,SUMIFS(Data_Panel!$J$6:$J$44,Data_Panel!$A$6:$A$44,B21),"period not in panel"))))))))</f>
        <v>6432.023429</v>
      </c>
      <c r="M21" s="20" t="n">
        <f aca="false">IF(L21="not in panel",0,ABS(N(L21)-D21))</f>
        <v>0</v>
      </c>
    </row>
    <row r="22" customFormat="false" ht="15" hidden="false" customHeight="false" outlineLevel="0" collapsed="false">
      <c r="A22" s="6" t="s">
        <v>73</v>
      </c>
      <c r="B22" s="6" t="s">
        <v>136</v>
      </c>
      <c r="C22" s="6" t="s">
        <v>137</v>
      </c>
      <c r="D22" s="18" t="n">
        <v>1652</v>
      </c>
      <c r="E22" s="6" t="s">
        <v>83</v>
      </c>
      <c r="F22" s="6" t="s">
        <v>193</v>
      </c>
      <c r="G22" s="6" t="s">
        <v>194</v>
      </c>
      <c r="H22" s="6" t="s">
        <v>195</v>
      </c>
      <c r="I22" s="6" t="s">
        <v>223</v>
      </c>
      <c r="J22" s="6" t="s">
        <v>197</v>
      </c>
      <c r="K22" s="6" t="n">
        <f aca="false">COUNTIFS($A$6:$A$243,A22,$B$6:$B$243,B22)</f>
        <v>1</v>
      </c>
      <c r="L22" s="19" t="n">
        <f aca="false">IF(COUNTIF(Data_Panel!$A$6:$A$44,B22)=0,"not in panel",IF(A22=Data_Panel!$D$5,SUMIFS(Data_Panel!$D$6:$D$44,Data_Panel!$A$6:$A$44,B22),IF(A22=Data_Panel!$E$5,SUMIFS(Data_Panel!$E$6:$E$44,Data_Panel!$A$6:$A$44,B22),IF(A22=Data_Panel!$F$5,SUMIFS(Data_Panel!$F$6:$F$44,Data_Panel!$A$6:$A$44,B22),IF(A22=Data_Panel!$G$5,SUMIFS(Data_Panel!$G$6:$G$44,Data_Panel!$A$6:$A$44,B22),IF(A22=Data_Panel!$H$5,SUMIFS(Data_Panel!$H$6:$H$44,Data_Panel!$A$6:$A$44,B22),IF(A22=Data_Panel!$I$5,SUMIFS(Data_Panel!$I$6:$I$44,Data_Panel!$A$6:$A$44,B22),IF(A22=Data_Panel!$J$5,SUMIFS(Data_Panel!$J$6:$J$44,Data_Panel!$A$6:$A$44,B22),"period not in panel"))))))))</f>
        <v>1652</v>
      </c>
      <c r="M22" s="20" t="n">
        <f aca="false">IF(L22="not in panel",0,ABS(N(L22)-D22))</f>
        <v>0</v>
      </c>
    </row>
    <row r="23" customFormat="false" ht="15" hidden="false" customHeight="false" outlineLevel="0" collapsed="false">
      <c r="A23" s="6" t="s">
        <v>73</v>
      </c>
      <c r="B23" s="6" t="s">
        <v>138</v>
      </c>
      <c r="C23" s="6" t="s">
        <v>139</v>
      </c>
      <c r="D23" s="18" t="n">
        <v>174</v>
      </c>
      <c r="E23" s="6" t="s">
        <v>83</v>
      </c>
      <c r="F23" s="6" t="s">
        <v>193</v>
      </c>
      <c r="G23" s="6" t="s">
        <v>194</v>
      </c>
      <c r="H23" s="6" t="s">
        <v>195</v>
      </c>
      <c r="I23" s="6" t="s">
        <v>223</v>
      </c>
      <c r="J23" s="6" t="s">
        <v>197</v>
      </c>
      <c r="K23" s="6" t="n">
        <f aca="false">COUNTIFS($A$6:$A$243,A23,$B$6:$B$243,B23)</f>
        <v>1</v>
      </c>
      <c r="L23" s="19" t="n">
        <f aca="false">IF(COUNTIF(Data_Panel!$A$6:$A$44,B23)=0,"not in panel",IF(A23=Data_Panel!$D$5,SUMIFS(Data_Panel!$D$6:$D$44,Data_Panel!$A$6:$A$44,B23),IF(A23=Data_Panel!$E$5,SUMIFS(Data_Panel!$E$6:$E$44,Data_Panel!$A$6:$A$44,B23),IF(A23=Data_Panel!$F$5,SUMIFS(Data_Panel!$F$6:$F$44,Data_Panel!$A$6:$A$44,B23),IF(A23=Data_Panel!$G$5,SUMIFS(Data_Panel!$G$6:$G$44,Data_Panel!$A$6:$A$44,B23),IF(A23=Data_Panel!$H$5,SUMIFS(Data_Panel!$H$6:$H$44,Data_Panel!$A$6:$A$44,B23),IF(A23=Data_Panel!$I$5,SUMIFS(Data_Panel!$I$6:$I$44,Data_Panel!$A$6:$A$44,B23),IF(A23=Data_Panel!$J$5,SUMIFS(Data_Panel!$J$6:$J$44,Data_Panel!$A$6:$A$44,B23),"period not in panel"))))))))</f>
        <v>174</v>
      </c>
      <c r="M23" s="20" t="n">
        <f aca="false">IF(L23="not in panel",0,ABS(N(L23)-D23))</f>
        <v>0</v>
      </c>
    </row>
    <row r="24" customFormat="false" ht="15" hidden="false" customHeight="false" outlineLevel="0" collapsed="false">
      <c r="A24" s="6" t="s">
        <v>73</v>
      </c>
      <c r="B24" s="6" t="s">
        <v>81</v>
      </c>
      <c r="C24" s="6" t="s">
        <v>82</v>
      </c>
      <c r="D24" s="18" t="n">
        <v>20430.922514</v>
      </c>
      <c r="E24" s="6" t="s">
        <v>83</v>
      </c>
      <c r="F24" s="6" t="s">
        <v>193</v>
      </c>
      <c r="G24" s="6" t="s">
        <v>213</v>
      </c>
      <c r="H24" s="6" t="s">
        <v>214</v>
      </c>
      <c r="I24" s="6" t="s">
        <v>224</v>
      </c>
      <c r="J24" s="6" t="s">
        <v>216</v>
      </c>
      <c r="K24" s="6" t="n">
        <f aca="false">COUNTIFS($A$6:$A$243,A24,$B$6:$B$243,B24)</f>
        <v>1</v>
      </c>
      <c r="L24" s="19" t="n">
        <f aca="false">IF(COUNTIF(Data_Panel!$A$6:$A$44,B24)=0,"not in panel",IF(A24=Data_Panel!$D$5,SUMIFS(Data_Panel!$D$6:$D$44,Data_Panel!$A$6:$A$44,B24),IF(A24=Data_Panel!$E$5,SUMIFS(Data_Panel!$E$6:$E$44,Data_Panel!$A$6:$A$44,B24),IF(A24=Data_Panel!$F$5,SUMIFS(Data_Panel!$F$6:$F$44,Data_Panel!$A$6:$A$44,B24),IF(A24=Data_Panel!$G$5,SUMIFS(Data_Panel!$G$6:$G$44,Data_Panel!$A$6:$A$44,B24),IF(A24=Data_Panel!$H$5,SUMIFS(Data_Panel!$H$6:$H$44,Data_Panel!$A$6:$A$44,B24),IF(A24=Data_Panel!$I$5,SUMIFS(Data_Panel!$I$6:$I$44,Data_Panel!$A$6:$A$44,B24),IF(A24=Data_Panel!$J$5,SUMIFS(Data_Panel!$J$6:$J$44,Data_Panel!$A$6:$A$44,B24),"period not in panel"))))))))</f>
        <v>20430.922514</v>
      </c>
      <c r="M24" s="20" t="n">
        <f aca="false">IF(L24="not in panel",0,ABS(N(L24)-D24))</f>
        <v>0</v>
      </c>
    </row>
    <row r="25" customFormat="false" ht="15" hidden="false" customHeight="false" outlineLevel="0" collapsed="false">
      <c r="A25" s="6" t="s">
        <v>73</v>
      </c>
      <c r="B25" s="6" t="s">
        <v>85</v>
      </c>
      <c r="C25" s="6" t="s">
        <v>86</v>
      </c>
      <c r="D25" s="18" t="n">
        <v>-14521.514834</v>
      </c>
      <c r="E25" s="6" t="s">
        <v>83</v>
      </c>
      <c r="F25" s="6" t="s">
        <v>193</v>
      </c>
      <c r="G25" s="6" t="s">
        <v>213</v>
      </c>
      <c r="H25" s="6" t="s">
        <v>214</v>
      </c>
      <c r="I25" s="6" t="s">
        <v>225</v>
      </c>
      <c r="J25" s="6" t="s">
        <v>216</v>
      </c>
      <c r="K25" s="6" t="n">
        <f aca="false">COUNTIFS($A$6:$A$243,A25,$B$6:$B$243,B25)</f>
        <v>1</v>
      </c>
      <c r="L25" s="19" t="n">
        <f aca="false">IF(COUNTIF(Data_Panel!$A$6:$A$44,B25)=0,"not in panel",IF(A25=Data_Panel!$D$5,SUMIFS(Data_Panel!$D$6:$D$44,Data_Panel!$A$6:$A$44,B25),IF(A25=Data_Panel!$E$5,SUMIFS(Data_Panel!$E$6:$E$44,Data_Panel!$A$6:$A$44,B25),IF(A25=Data_Panel!$F$5,SUMIFS(Data_Panel!$F$6:$F$44,Data_Panel!$A$6:$A$44,B25),IF(A25=Data_Panel!$G$5,SUMIFS(Data_Panel!$G$6:$G$44,Data_Panel!$A$6:$A$44,B25),IF(A25=Data_Panel!$H$5,SUMIFS(Data_Panel!$H$6:$H$44,Data_Panel!$A$6:$A$44,B25),IF(A25=Data_Panel!$I$5,SUMIFS(Data_Panel!$I$6:$I$44,Data_Panel!$A$6:$A$44,B25),IF(A25=Data_Panel!$J$5,SUMIFS(Data_Panel!$J$6:$J$44,Data_Panel!$A$6:$A$44,B25),"period not in panel"))))))))</f>
        <v>-14521.514834</v>
      </c>
      <c r="M25" s="20" t="n">
        <f aca="false">IF(L25="not in panel",0,ABS(N(L25)-D25))</f>
        <v>0</v>
      </c>
    </row>
    <row r="26" customFormat="false" ht="15" hidden="false" customHeight="false" outlineLevel="0" collapsed="false">
      <c r="A26" s="6" t="s">
        <v>73</v>
      </c>
      <c r="B26" s="6" t="s">
        <v>87</v>
      </c>
      <c r="C26" s="6" t="s">
        <v>88</v>
      </c>
      <c r="D26" s="18" t="n">
        <v>5909.407679</v>
      </c>
      <c r="E26" s="6" t="s">
        <v>83</v>
      </c>
      <c r="F26" s="6" t="s">
        <v>193</v>
      </c>
      <c r="G26" s="6" t="s">
        <v>213</v>
      </c>
      <c r="H26" s="6" t="s">
        <v>214</v>
      </c>
      <c r="I26" s="6" t="s">
        <v>226</v>
      </c>
      <c r="J26" s="6" t="s">
        <v>216</v>
      </c>
      <c r="K26" s="6" t="n">
        <f aca="false">COUNTIFS($A$6:$A$243,A26,$B$6:$B$243,B26)</f>
        <v>1</v>
      </c>
      <c r="L26" s="19" t="n">
        <f aca="false">IF(COUNTIF(Data_Panel!$A$6:$A$44,B26)=0,"not in panel",IF(A26=Data_Panel!$D$5,SUMIFS(Data_Panel!$D$6:$D$44,Data_Panel!$A$6:$A$44,B26),IF(A26=Data_Panel!$E$5,SUMIFS(Data_Panel!$E$6:$E$44,Data_Panel!$A$6:$A$44,B26),IF(A26=Data_Panel!$F$5,SUMIFS(Data_Panel!$F$6:$F$44,Data_Panel!$A$6:$A$44,B26),IF(A26=Data_Panel!$G$5,SUMIFS(Data_Panel!$G$6:$G$44,Data_Panel!$A$6:$A$44,B26),IF(A26=Data_Panel!$H$5,SUMIFS(Data_Panel!$H$6:$H$44,Data_Panel!$A$6:$A$44,B26),IF(A26=Data_Panel!$I$5,SUMIFS(Data_Panel!$I$6:$I$44,Data_Panel!$A$6:$A$44,B26),IF(A26=Data_Panel!$J$5,SUMIFS(Data_Panel!$J$6:$J$44,Data_Panel!$A$6:$A$44,B26),"period not in panel"))))))))</f>
        <v>5909.407679</v>
      </c>
      <c r="M26" s="20" t="n">
        <f aca="false">IF(L26="not in panel",0,ABS(N(L26)-D26))</f>
        <v>0</v>
      </c>
    </row>
    <row r="27" customFormat="false" ht="15" hidden="false" customHeight="false" outlineLevel="0" collapsed="false">
      <c r="A27" s="6" t="s">
        <v>73</v>
      </c>
      <c r="B27" s="6" t="s">
        <v>89</v>
      </c>
      <c r="C27" s="6" t="s">
        <v>90</v>
      </c>
      <c r="D27" s="18" t="n">
        <v>-1292.930726</v>
      </c>
      <c r="E27" s="6" t="s">
        <v>83</v>
      </c>
      <c r="F27" s="6" t="s">
        <v>193</v>
      </c>
      <c r="G27" s="6" t="s">
        <v>213</v>
      </c>
      <c r="H27" s="6" t="s">
        <v>214</v>
      </c>
      <c r="I27" s="6" t="s">
        <v>227</v>
      </c>
      <c r="J27" s="6" t="s">
        <v>216</v>
      </c>
      <c r="K27" s="6" t="n">
        <f aca="false">COUNTIFS($A$6:$A$243,A27,$B$6:$B$243,B27)</f>
        <v>1</v>
      </c>
      <c r="L27" s="19" t="n">
        <f aca="false">IF(COUNTIF(Data_Panel!$A$6:$A$44,B27)=0,"not in panel",IF(A27=Data_Panel!$D$5,SUMIFS(Data_Panel!$D$6:$D$44,Data_Panel!$A$6:$A$44,B27),IF(A27=Data_Panel!$E$5,SUMIFS(Data_Panel!$E$6:$E$44,Data_Panel!$A$6:$A$44,B27),IF(A27=Data_Panel!$F$5,SUMIFS(Data_Panel!$F$6:$F$44,Data_Panel!$A$6:$A$44,B27),IF(A27=Data_Panel!$G$5,SUMIFS(Data_Panel!$G$6:$G$44,Data_Panel!$A$6:$A$44,B27),IF(A27=Data_Panel!$H$5,SUMIFS(Data_Panel!$H$6:$H$44,Data_Panel!$A$6:$A$44,B27),IF(A27=Data_Panel!$I$5,SUMIFS(Data_Panel!$I$6:$I$44,Data_Panel!$A$6:$A$44,B27),IF(A27=Data_Panel!$J$5,SUMIFS(Data_Panel!$J$6:$J$44,Data_Panel!$A$6:$A$44,B27),"period not in panel"))))))))</f>
        <v>-1292.930726</v>
      </c>
      <c r="M27" s="20" t="n">
        <f aca="false">IF(L27="not in panel",0,ABS(N(L27)-D27))</f>
        <v>0</v>
      </c>
    </row>
    <row r="28" customFormat="false" ht="15" hidden="false" customHeight="false" outlineLevel="0" collapsed="false">
      <c r="A28" s="6" t="s">
        <v>73</v>
      </c>
      <c r="B28" s="6" t="s">
        <v>91</v>
      </c>
      <c r="C28" s="6" t="s">
        <v>92</v>
      </c>
      <c r="D28" s="18" t="n">
        <v>-875.095622</v>
      </c>
      <c r="E28" s="6" t="s">
        <v>83</v>
      </c>
      <c r="F28" s="6" t="s">
        <v>193</v>
      </c>
      <c r="G28" s="6" t="s">
        <v>213</v>
      </c>
      <c r="H28" s="6" t="s">
        <v>214</v>
      </c>
      <c r="I28" s="6" t="s">
        <v>228</v>
      </c>
      <c r="J28" s="6" t="s">
        <v>216</v>
      </c>
      <c r="K28" s="6" t="n">
        <f aca="false">COUNTIFS($A$6:$A$243,A28,$B$6:$B$243,B28)</f>
        <v>1</v>
      </c>
      <c r="L28" s="19" t="n">
        <f aca="false">IF(COUNTIF(Data_Panel!$A$6:$A$44,B28)=0,"not in panel",IF(A28=Data_Panel!$D$5,SUMIFS(Data_Panel!$D$6:$D$44,Data_Panel!$A$6:$A$44,B28),IF(A28=Data_Panel!$E$5,SUMIFS(Data_Panel!$E$6:$E$44,Data_Panel!$A$6:$A$44,B28),IF(A28=Data_Panel!$F$5,SUMIFS(Data_Panel!$F$6:$F$44,Data_Panel!$A$6:$A$44,B28),IF(A28=Data_Panel!$G$5,SUMIFS(Data_Panel!$G$6:$G$44,Data_Panel!$A$6:$A$44,B28),IF(A28=Data_Panel!$H$5,SUMIFS(Data_Panel!$H$6:$H$44,Data_Panel!$A$6:$A$44,B28),IF(A28=Data_Panel!$I$5,SUMIFS(Data_Panel!$I$6:$I$44,Data_Panel!$A$6:$A$44,B28),IF(A28=Data_Panel!$J$5,SUMIFS(Data_Panel!$J$6:$J$44,Data_Panel!$A$6:$A$44,B28),"period not in panel"))))))))</f>
        <v>-875.095622</v>
      </c>
      <c r="M28" s="20" t="n">
        <f aca="false">IF(L28="not in panel",0,ABS(N(L28)-D28))</f>
        <v>0</v>
      </c>
    </row>
    <row r="29" customFormat="false" ht="15" hidden="false" customHeight="false" outlineLevel="0" collapsed="false">
      <c r="A29" s="6" t="s">
        <v>73</v>
      </c>
      <c r="B29" s="6" t="s">
        <v>93</v>
      </c>
      <c r="C29" s="6" t="s">
        <v>94</v>
      </c>
      <c r="D29" s="18" t="n">
        <v>110.853882</v>
      </c>
      <c r="E29" s="6" t="s">
        <v>83</v>
      </c>
      <c r="F29" s="6" t="s">
        <v>193</v>
      </c>
      <c r="G29" s="6" t="s">
        <v>213</v>
      </c>
      <c r="H29" s="6" t="s">
        <v>214</v>
      </c>
      <c r="I29" s="6" t="s">
        <v>229</v>
      </c>
      <c r="J29" s="6" t="s">
        <v>216</v>
      </c>
      <c r="K29" s="6" t="n">
        <f aca="false">COUNTIFS($A$6:$A$243,A29,$B$6:$B$243,B29)</f>
        <v>1</v>
      </c>
      <c r="L29" s="19" t="n">
        <f aca="false">IF(COUNTIF(Data_Panel!$A$6:$A$44,B29)=0,"not in panel",IF(A29=Data_Panel!$D$5,SUMIFS(Data_Panel!$D$6:$D$44,Data_Panel!$A$6:$A$44,B29),IF(A29=Data_Panel!$E$5,SUMIFS(Data_Panel!$E$6:$E$44,Data_Panel!$A$6:$A$44,B29),IF(A29=Data_Panel!$F$5,SUMIFS(Data_Panel!$F$6:$F$44,Data_Panel!$A$6:$A$44,B29),IF(A29=Data_Panel!$G$5,SUMIFS(Data_Panel!$G$6:$G$44,Data_Panel!$A$6:$A$44,B29),IF(A29=Data_Panel!$H$5,SUMIFS(Data_Panel!$H$6:$H$44,Data_Panel!$A$6:$A$44,B29),IF(A29=Data_Panel!$I$5,SUMIFS(Data_Panel!$I$6:$I$44,Data_Panel!$A$6:$A$44,B29),IF(A29=Data_Panel!$J$5,SUMIFS(Data_Panel!$J$6:$J$44,Data_Panel!$A$6:$A$44,B29),"period not in panel"))))))))</f>
        <v>110.853882</v>
      </c>
      <c r="M29" s="20" t="n">
        <f aca="false">IF(L29="not in panel",0,ABS(N(L29)-D29))</f>
        <v>0</v>
      </c>
    </row>
    <row r="30" customFormat="false" ht="15" hidden="false" customHeight="false" outlineLevel="0" collapsed="false">
      <c r="A30" s="6" t="s">
        <v>73</v>
      </c>
      <c r="B30" s="6" t="s">
        <v>95</v>
      </c>
      <c r="C30" s="6" t="s">
        <v>230</v>
      </c>
      <c r="D30" s="18" t="n">
        <v>3852.235213</v>
      </c>
      <c r="E30" s="6" t="s">
        <v>83</v>
      </c>
      <c r="F30" s="6" t="s">
        <v>193</v>
      </c>
      <c r="G30" s="6" t="s">
        <v>213</v>
      </c>
      <c r="H30" s="6" t="s">
        <v>214</v>
      </c>
      <c r="I30" s="6" t="s">
        <v>231</v>
      </c>
      <c r="J30" s="6" t="s">
        <v>216</v>
      </c>
      <c r="K30" s="6" t="n">
        <f aca="false">COUNTIFS($A$6:$A$243,A30,$B$6:$B$243,B30)</f>
        <v>1</v>
      </c>
      <c r="L30" s="19" t="n">
        <f aca="false">IF(COUNTIF(Data_Panel!$A$6:$A$44,B30)=0,"not in panel",IF(A30=Data_Panel!$D$5,SUMIFS(Data_Panel!$D$6:$D$44,Data_Panel!$A$6:$A$44,B30),IF(A30=Data_Panel!$E$5,SUMIFS(Data_Panel!$E$6:$E$44,Data_Panel!$A$6:$A$44,B30),IF(A30=Data_Panel!$F$5,SUMIFS(Data_Panel!$F$6:$F$44,Data_Panel!$A$6:$A$44,B30),IF(A30=Data_Panel!$G$5,SUMIFS(Data_Panel!$G$6:$G$44,Data_Panel!$A$6:$A$44,B30),IF(A30=Data_Panel!$H$5,SUMIFS(Data_Panel!$H$6:$H$44,Data_Panel!$A$6:$A$44,B30),IF(A30=Data_Panel!$I$5,SUMIFS(Data_Panel!$I$6:$I$44,Data_Panel!$A$6:$A$44,B30),IF(A30=Data_Panel!$J$5,SUMIFS(Data_Panel!$J$6:$J$44,Data_Panel!$A$6:$A$44,B30),"period not in panel"))))))))</f>
        <v>3852.235213</v>
      </c>
      <c r="M30" s="20" t="n">
        <f aca="false">IF(L30="not in panel",0,ABS(N(L30)-D30))</f>
        <v>0</v>
      </c>
    </row>
    <row r="31" customFormat="false" ht="15" hidden="false" customHeight="false" outlineLevel="0" collapsed="false">
      <c r="A31" s="6" t="s">
        <v>73</v>
      </c>
      <c r="B31" s="6" t="s">
        <v>232</v>
      </c>
      <c r="C31" s="6" t="s">
        <v>233</v>
      </c>
      <c r="D31" s="18" t="n">
        <v>3.03</v>
      </c>
      <c r="E31" s="6" t="s">
        <v>234</v>
      </c>
      <c r="F31" s="6" t="s">
        <v>193</v>
      </c>
      <c r="G31" s="6" t="s">
        <v>213</v>
      </c>
      <c r="H31" s="6" t="s">
        <v>214</v>
      </c>
      <c r="I31" s="6" t="s">
        <v>235</v>
      </c>
      <c r="J31" s="6" t="s">
        <v>236</v>
      </c>
      <c r="K31" s="6" t="n">
        <f aca="false">COUNTIFS($A$6:$A$243,A31,$B$6:$B$243,B31)</f>
        <v>1</v>
      </c>
      <c r="L31" s="19" t="str">
        <f aca="false">IF(COUNTIF(Data_Panel!$A$6:$A$44,B31)=0,"not in panel",IF(A31=Data_Panel!$D$5,SUMIFS(Data_Panel!$D$6:$D$44,Data_Panel!$A$6:$A$44,B31),IF(A31=Data_Panel!$E$5,SUMIFS(Data_Panel!$E$6:$E$44,Data_Panel!$A$6:$A$44,B31),IF(A31=Data_Panel!$F$5,SUMIFS(Data_Panel!$F$6:$F$44,Data_Panel!$A$6:$A$44,B31),IF(A31=Data_Panel!$G$5,SUMIFS(Data_Panel!$G$6:$G$44,Data_Panel!$A$6:$A$44,B31),IF(A31=Data_Panel!$H$5,SUMIFS(Data_Panel!$H$6:$H$44,Data_Panel!$A$6:$A$44,B31),IF(A31=Data_Panel!$I$5,SUMIFS(Data_Panel!$I$6:$I$44,Data_Panel!$A$6:$A$44,B31),IF(A31=Data_Panel!$J$5,SUMIFS(Data_Panel!$J$6:$J$44,Data_Panel!$A$6:$A$44,B31),"period not in panel"))))))))</f>
        <v>not in panel</v>
      </c>
      <c r="M31" s="20" t="n">
        <f aca="false">IF(L31="not in panel",0,ABS(N(L31)-D31))</f>
        <v>0</v>
      </c>
    </row>
    <row r="32" customFormat="false" ht="15" hidden="false" customHeight="false" outlineLevel="0" collapsed="false">
      <c r="A32" s="6" t="s">
        <v>73</v>
      </c>
      <c r="B32" s="6" t="s">
        <v>237</v>
      </c>
      <c r="C32" s="6" t="s">
        <v>238</v>
      </c>
      <c r="D32" s="18" t="n">
        <v>3.04</v>
      </c>
      <c r="E32" s="6" t="s">
        <v>234</v>
      </c>
      <c r="F32" s="6" t="s">
        <v>193</v>
      </c>
      <c r="G32" s="6" t="s">
        <v>213</v>
      </c>
      <c r="H32" s="6" t="s">
        <v>214</v>
      </c>
      <c r="I32" s="6" t="s">
        <v>239</v>
      </c>
      <c r="J32" s="6" t="s">
        <v>236</v>
      </c>
      <c r="K32" s="6" t="n">
        <f aca="false">COUNTIFS($A$6:$A$243,A32,$B$6:$B$243,B32)</f>
        <v>1</v>
      </c>
      <c r="L32" s="19" t="str">
        <f aca="false">IF(COUNTIF(Data_Panel!$A$6:$A$44,B32)=0,"not in panel",IF(A32=Data_Panel!$D$5,SUMIFS(Data_Panel!$D$6:$D$44,Data_Panel!$A$6:$A$44,B32),IF(A32=Data_Panel!$E$5,SUMIFS(Data_Panel!$E$6:$E$44,Data_Panel!$A$6:$A$44,B32),IF(A32=Data_Panel!$F$5,SUMIFS(Data_Panel!$F$6:$F$44,Data_Panel!$A$6:$A$44,B32),IF(A32=Data_Panel!$G$5,SUMIFS(Data_Panel!$G$6:$G$44,Data_Panel!$A$6:$A$44,B32),IF(A32=Data_Panel!$H$5,SUMIFS(Data_Panel!$H$6:$H$44,Data_Panel!$A$6:$A$44,B32),IF(A32=Data_Panel!$I$5,SUMIFS(Data_Panel!$I$6:$I$44,Data_Panel!$A$6:$A$44,B32),IF(A32=Data_Panel!$J$5,SUMIFS(Data_Panel!$J$6:$J$44,Data_Panel!$A$6:$A$44,B32),"period not in panel"))))))))</f>
        <v>not in panel</v>
      </c>
      <c r="M32" s="20" t="n">
        <f aca="false">IF(L32="not in panel",0,ABS(N(L32)-D32))</f>
        <v>0</v>
      </c>
    </row>
    <row r="33" customFormat="false" ht="15" hidden="false" customHeight="false" outlineLevel="0" collapsed="false">
      <c r="A33" s="6" t="s">
        <v>73</v>
      </c>
      <c r="B33" s="6" t="s">
        <v>165</v>
      </c>
      <c r="C33" s="6" t="s">
        <v>240</v>
      </c>
      <c r="D33" s="18" t="n">
        <v>167354</v>
      </c>
      <c r="E33" s="6" t="s">
        <v>167</v>
      </c>
      <c r="F33" s="6" t="s">
        <v>193</v>
      </c>
      <c r="G33" s="6" t="s">
        <v>213</v>
      </c>
      <c r="H33" s="6" t="s">
        <v>214</v>
      </c>
      <c r="I33" s="6" t="s">
        <v>241</v>
      </c>
      <c r="J33" s="6" t="s">
        <v>236</v>
      </c>
      <c r="K33" s="6" t="n">
        <f aca="false">COUNTIFS($A$6:$A$243,A33,$B$6:$B$243,B33)</f>
        <v>1</v>
      </c>
      <c r="L33" s="19" t="n">
        <f aca="false">IF(COUNTIF(Data_Panel!$A$6:$A$44,B33)=0,"not in panel",IF(A33=Data_Panel!$D$5,SUMIFS(Data_Panel!$D$6:$D$44,Data_Panel!$A$6:$A$44,B33),IF(A33=Data_Panel!$E$5,SUMIFS(Data_Panel!$E$6:$E$44,Data_Panel!$A$6:$A$44,B33),IF(A33=Data_Panel!$F$5,SUMIFS(Data_Panel!$F$6:$F$44,Data_Panel!$A$6:$A$44,B33),IF(A33=Data_Panel!$G$5,SUMIFS(Data_Panel!$G$6:$G$44,Data_Panel!$A$6:$A$44,B33),IF(A33=Data_Panel!$H$5,SUMIFS(Data_Panel!$H$6:$H$44,Data_Panel!$A$6:$A$44,B33),IF(A33=Data_Panel!$I$5,SUMIFS(Data_Panel!$I$6:$I$44,Data_Panel!$A$6:$A$44,B33),IF(A33=Data_Panel!$J$5,SUMIFS(Data_Panel!$J$6:$J$44,Data_Panel!$A$6:$A$44,B33),"period not in panel"))))))))</f>
        <v>167354</v>
      </c>
      <c r="M33" s="20" t="n">
        <f aca="false">IF(L33="not in panel",0,ABS(N(L33)-D33))</f>
        <v>0</v>
      </c>
    </row>
    <row r="34" customFormat="false" ht="15" hidden="false" customHeight="false" outlineLevel="0" collapsed="false">
      <c r="A34" s="6" t="s">
        <v>73</v>
      </c>
      <c r="B34" s="6" t="s">
        <v>168</v>
      </c>
      <c r="C34" s="6" t="s">
        <v>169</v>
      </c>
      <c r="D34" s="18" t="n">
        <v>170802</v>
      </c>
      <c r="E34" s="6" t="s">
        <v>167</v>
      </c>
      <c r="F34" s="6" t="s">
        <v>193</v>
      </c>
      <c r="G34" s="6" t="s">
        <v>213</v>
      </c>
      <c r="H34" s="6" t="s">
        <v>214</v>
      </c>
      <c r="I34" s="6" t="s">
        <v>242</v>
      </c>
      <c r="J34" s="6" t="s">
        <v>236</v>
      </c>
      <c r="K34" s="6" t="n">
        <f aca="false">COUNTIFS($A$6:$A$243,A34,$B$6:$B$243,B34)</f>
        <v>1</v>
      </c>
      <c r="L34" s="19" t="n">
        <f aca="false">IF(COUNTIF(Data_Panel!$A$6:$A$44,B34)=0,"not in panel",IF(A34=Data_Panel!$D$5,SUMIFS(Data_Panel!$D$6:$D$44,Data_Panel!$A$6:$A$44,B34),IF(A34=Data_Panel!$E$5,SUMIFS(Data_Panel!$E$6:$E$44,Data_Panel!$A$6:$A$44,B34),IF(A34=Data_Panel!$F$5,SUMIFS(Data_Panel!$F$6:$F$44,Data_Panel!$A$6:$A$44,B34),IF(A34=Data_Panel!$G$5,SUMIFS(Data_Panel!$G$6:$G$44,Data_Panel!$A$6:$A$44,B34),IF(A34=Data_Panel!$H$5,SUMIFS(Data_Panel!$H$6:$H$44,Data_Panel!$A$6:$A$44,B34),IF(A34=Data_Panel!$I$5,SUMIFS(Data_Panel!$I$6:$I$44,Data_Panel!$A$6:$A$44,B34),IF(A34=Data_Panel!$J$5,SUMIFS(Data_Panel!$J$6:$J$44,Data_Panel!$A$6:$A$44,B34),"period not in panel"))))))))</f>
        <v>170802</v>
      </c>
      <c r="M34" s="20" t="n">
        <f aca="false">IF(L34="not in panel",0,ABS(N(L34)-D34))</f>
        <v>0</v>
      </c>
    </row>
    <row r="35" customFormat="false" ht="15" hidden="false" customHeight="false" outlineLevel="0" collapsed="false">
      <c r="A35" s="6" t="s">
        <v>73</v>
      </c>
      <c r="B35" s="6" t="s">
        <v>170</v>
      </c>
      <c r="C35" s="6" t="s">
        <v>243</v>
      </c>
      <c r="D35" s="18" t="n">
        <v>111</v>
      </c>
      <c r="E35" s="6" t="s">
        <v>172</v>
      </c>
      <c r="F35" s="6" t="s">
        <v>193</v>
      </c>
      <c r="G35" s="6" t="s">
        <v>194</v>
      </c>
      <c r="H35" s="6" t="s">
        <v>204</v>
      </c>
      <c r="I35" s="6" t="s">
        <v>244</v>
      </c>
      <c r="J35" s="6" t="s">
        <v>245</v>
      </c>
      <c r="K35" s="6" t="n">
        <f aca="false">COUNTIFS($A$6:$A$243,A35,$B$6:$B$243,B35)</f>
        <v>1</v>
      </c>
      <c r="L35" s="19" t="n">
        <f aca="false">IF(COUNTIF(Data_Panel!$A$6:$A$44,B35)=0,"not in panel",IF(A35=Data_Panel!$D$5,SUMIFS(Data_Panel!$D$6:$D$44,Data_Panel!$A$6:$A$44,B35),IF(A35=Data_Panel!$E$5,SUMIFS(Data_Panel!$E$6:$E$44,Data_Panel!$A$6:$A$44,B35),IF(A35=Data_Panel!$F$5,SUMIFS(Data_Panel!$F$6:$F$44,Data_Panel!$A$6:$A$44,B35),IF(A35=Data_Panel!$G$5,SUMIFS(Data_Panel!$G$6:$G$44,Data_Panel!$A$6:$A$44,B35),IF(A35=Data_Panel!$H$5,SUMIFS(Data_Panel!$H$6:$H$44,Data_Panel!$A$6:$A$44,B35),IF(A35=Data_Panel!$I$5,SUMIFS(Data_Panel!$I$6:$I$44,Data_Panel!$A$6:$A$44,B35),IF(A35=Data_Panel!$J$5,SUMIFS(Data_Panel!$J$6:$J$44,Data_Panel!$A$6:$A$44,B35),"period not in panel"))))))))</f>
        <v>111</v>
      </c>
      <c r="M35" s="20" t="n">
        <f aca="false">IF(L35="not in panel",0,ABS(N(L35)-D35))</f>
        <v>0</v>
      </c>
    </row>
    <row r="36" customFormat="false" ht="15" hidden="false" customHeight="false" outlineLevel="0" collapsed="false">
      <c r="A36" s="6" t="s">
        <v>73</v>
      </c>
      <c r="B36" s="6" t="s">
        <v>174</v>
      </c>
      <c r="C36" s="6" t="s">
        <v>246</v>
      </c>
      <c r="D36" s="18" t="n">
        <v>10.8</v>
      </c>
      <c r="E36" s="6" t="s">
        <v>106</v>
      </c>
      <c r="F36" s="6" t="s">
        <v>193</v>
      </c>
      <c r="G36" s="6" t="s">
        <v>194</v>
      </c>
      <c r="H36" s="6" t="s">
        <v>247</v>
      </c>
      <c r="I36" s="6" t="s">
        <v>248</v>
      </c>
      <c r="J36" s="6" t="s">
        <v>199</v>
      </c>
      <c r="K36" s="6" t="n">
        <f aca="false">COUNTIFS($A$6:$A$243,A36,$B$6:$B$243,B36)</f>
        <v>1</v>
      </c>
      <c r="L36" s="19" t="n">
        <f aca="false">IF(COUNTIF(Data_Panel!$A$6:$A$44,B36)=0,"not in panel",IF(A36=Data_Panel!$D$5,SUMIFS(Data_Panel!$D$6:$D$44,Data_Panel!$A$6:$A$44,B36),IF(A36=Data_Panel!$E$5,SUMIFS(Data_Panel!$E$6:$E$44,Data_Panel!$A$6:$A$44,B36),IF(A36=Data_Panel!$F$5,SUMIFS(Data_Panel!$F$6:$F$44,Data_Panel!$A$6:$A$44,B36),IF(A36=Data_Panel!$G$5,SUMIFS(Data_Panel!$G$6:$G$44,Data_Panel!$A$6:$A$44,B36),IF(A36=Data_Panel!$H$5,SUMIFS(Data_Panel!$H$6:$H$44,Data_Panel!$A$6:$A$44,B36),IF(A36=Data_Panel!$I$5,SUMIFS(Data_Panel!$I$6:$I$44,Data_Panel!$A$6:$A$44,B36),IF(A36=Data_Panel!$J$5,SUMIFS(Data_Panel!$J$6:$J$44,Data_Panel!$A$6:$A$44,B36),"period not in panel"))))))))</f>
        <v>10.8</v>
      </c>
      <c r="M36" s="20" t="n">
        <f aca="false">IF(L36="not in panel",0,ABS(N(L36)-D36))</f>
        <v>0</v>
      </c>
    </row>
    <row r="37" customFormat="false" ht="15" hidden="false" customHeight="false" outlineLevel="0" collapsed="false">
      <c r="A37" s="6" t="s">
        <v>73</v>
      </c>
      <c r="B37" s="6" t="s">
        <v>151</v>
      </c>
      <c r="C37" s="6" t="s">
        <v>249</v>
      </c>
      <c r="D37" s="18" t="n">
        <v>0</v>
      </c>
      <c r="E37" s="6" t="s">
        <v>83</v>
      </c>
      <c r="F37" s="6" t="s">
        <v>193</v>
      </c>
      <c r="G37" s="6" t="s">
        <v>194</v>
      </c>
      <c r="H37" s="6" t="s">
        <v>195</v>
      </c>
      <c r="I37" s="6" t="s">
        <v>250</v>
      </c>
      <c r="J37" s="6" t="s">
        <v>197</v>
      </c>
      <c r="K37" s="6" t="n">
        <f aca="false">COUNTIFS($A$6:$A$243,A37,$B$6:$B$243,B37)</f>
        <v>1</v>
      </c>
      <c r="L37" s="19" t="n">
        <f aca="false">IF(COUNTIF(Data_Panel!$A$6:$A$44,B37)=0,"not in panel",IF(A37=Data_Panel!$D$5,SUMIFS(Data_Panel!$D$6:$D$44,Data_Panel!$A$6:$A$44,B37),IF(A37=Data_Panel!$E$5,SUMIFS(Data_Panel!$E$6:$E$44,Data_Panel!$A$6:$A$44,B37),IF(A37=Data_Panel!$F$5,SUMIFS(Data_Panel!$F$6:$F$44,Data_Panel!$A$6:$A$44,B37),IF(A37=Data_Panel!$G$5,SUMIFS(Data_Panel!$G$6:$G$44,Data_Panel!$A$6:$A$44,B37),IF(A37=Data_Panel!$H$5,SUMIFS(Data_Panel!$H$6:$H$44,Data_Panel!$A$6:$A$44,B37),IF(A37=Data_Panel!$I$5,SUMIFS(Data_Panel!$I$6:$I$44,Data_Panel!$A$6:$A$44,B37),IF(A37=Data_Panel!$J$5,SUMIFS(Data_Panel!$J$6:$J$44,Data_Panel!$A$6:$A$44,B37),"period not in panel"))))))))</f>
        <v>0</v>
      </c>
      <c r="M37" s="20" t="n">
        <f aca="false">IF(L37="not in panel",0,ABS(N(L37)-D37))</f>
        <v>0</v>
      </c>
    </row>
    <row r="38" customFormat="false" ht="15" hidden="false" customHeight="false" outlineLevel="0" collapsed="false">
      <c r="A38" s="6" t="s">
        <v>74</v>
      </c>
      <c r="B38" s="6" t="s">
        <v>97</v>
      </c>
      <c r="C38" s="6" t="s">
        <v>98</v>
      </c>
      <c r="D38" s="18" t="n">
        <v>18457</v>
      </c>
      <c r="E38" s="6" t="s">
        <v>83</v>
      </c>
      <c r="F38" s="6" t="s">
        <v>208</v>
      </c>
      <c r="G38" s="6" t="s">
        <v>209</v>
      </c>
      <c r="H38" s="6"/>
      <c r="I38" s="6" t="s">
        <v>251</v>
      </c>
      <c r="J38" s="6" t="s">
        <v>252</v>
      </c>
      <c r="K38" s="6" t="n">
        <f aca="false">COUNTIFS($A$6:$A$243,A38,$B$6:$B$243,B38)</f>
        <v>1</v>
      </c>
      <c r="L38" s="19" t="n">
        <f aca="false">IF(COUNTIF(Data_Panel!$A$6:$A$44,B38)=0,"not in panel",IF(A38=Data_Panel!$D$5,SUMIFS(Data_Panel!$D$6:$D$44,Data_Panel!$A$6:$A$44,B38),IF(A38=Data_Panel!$E$5,SUMIFS(Data_Panel!$E$6:$E$44,Data_Panel!$A$6:$A$44,B38),IF(A38=Data_Panel!$F$5,SUMIFS(Data_Panel!$F$6:$F$44,Data_Panel!$A$6:$A$44,B38),IF(A38=Data_Panel!$G$5,SUMIFS(Data_Panel!$G$6:$G$44,Data_Panel!$A$6:$A$44,B38),IF(A38=Data_Panel!$H$5,SUMIFS(Data_Panel!$H$6:$H$44,Data_Panel!$A$6:$A$44,B38),IF(A38=Data_Panel!$I$5,SUMIFS(Data_Panel!$I$6:$I$44,Data_Panel!$A$6:$A$44,B38),IF(A38=Data_Panel!$J$5,SUMIFS(Data_Panel!$J$6:$J$44,Data_Panel!$A$6:$A$44,B38),"period not in panel"))))))))</f>
        <v>18457</v>
      </c>
      <c r="M38" s="20" t="n">
        <f aca="false">IF(L38="not in panel",0,ABS(N(L38)-D38))</f>
        <v>0</v>
      </c>
    </row>
    <row r="39" customFormat="false" ht="15" hidden="false" customHeight="false" outlineLevel="0" collapsed="false">
      <c r="A39" s="6" t="s">
        <v>74</v>
      </c>
      <c r="B39" s="6" t="s">
        <v>100</v>
      </c>
      <c r="C39" s="6" t="s">
        <v>101</v>
      </c>
      <c r="D39" s="18" t="n">
        <v>3285</v>
      </c>
      <c r="E39" s="6" t="s">
        <v>83</v>
      </c>
      <c r="F39" s="6" t="s">
        <v>208</v>
      </c>
      <c r="G39" s="6" t="s">
        <v>209</v>
      </c>
      <c r="H39" s="6"/>
      <c r="I39" s="6" t="s">
        <v>251</v>
      </c>
      <c r="J39" s="6" t="s">
        <v>252</v>
      </c>
      <c r="K39" s="6" t="n">
        <f aca="false">COUNTIFS($A$6:$A$243,A39,$B$6:$B$243,B39)</f>
        <v>1</v>
      </c>
      <c r="L39" s="19" t="n">
        <f aca="false">IF(COUNTIF(Data_Panel!$A$6:$A$44,B39)=0,"not in panel",IF(A39=Data_Panel!$D$5,SUMIFS(Data_Panel!$D$6:$D$44,Data_Panel!$A$6:$A$44,B39),IF(A39=Data_Panel!$E$5,SUMIFS(Data_Panel!$E$6:$E$44,Data_Panel!$A$6:$A$44,B39),IF(A39=Data_Panel!$F$5,SUMIFS(Data_Panel!$F$6:$F$44,Data_Panel!$A$6:$A$44,B39),IF(A39=Data_Panel!$G$5,SUMIFS(Data_Panel!$G$6:$G$44,Data_Panel!$A$6:$A$44,B39),IF(A39=Data_Panel!$H$5,SUMIFS(Data_Panel!$H$6:$H$44,Data_Panel!$A$6:$A$44,B39),IF(A39=Data_Panel!$I$5,SUMIFS(Data_Panel!$I$6:$I$44,Data_Panel!$A$6:$A$44,B39),IF(A39=Data_Panel!$J$5,SUMIFS(Data_Panel!$J$6:$J$44,Data_Panel!$A$6:$A$44,B39),"period not in panel"))))))))</f>
        <v>3285</v>
      </c>
      <c r="M39" s="20" t="n">
        <f aca="false">IF(L39="not in panel",0,ABS(N(L39)-D39))</f>
        <v>0</v>
      </c>
    </row>
    <row r="40" customFormat="false" ht="15" hidden="false" customHeight="false" outlineLevel="0" collapsed="false">
      <c r="A40" s="6" t="s">
        <v>74</v>
      </c>
      <c r="B40" s="6" t="s">
        <v>102</v>
      </c>
      <c r="C40" s="6" t="s">
        <v>103</v>
      </c>
      <c r="D40" s="18" t="n">
        <v>4765</v>
      </c>
      <c r="E40" s="6" t="s">
        <v>83</v>
      </c>
      <c r="F40" s="6" t="s">
        <v>208</v>
      </c>
      <c r="G40" s="6" t="s">
        <v>209</v>
      </c>
      <c r="H40" s="6"/>
      <c r="I40" s="6" t="s">
        <v>251</v>
      </c>
      <c r="J40" s="6" t="s">
        <v>252</v>
      </c>
      <c r="K40" s="6" t="n">
        <f aca="false">COUNTIFS($A$6:$A$243,A40,$B$6:$B$243,B40)</f>
        <v>1</v>
      </c>
      <c r="L40" s="19" t="n">
        <f aca="false">IF(COUNTIF(Data_Panel!$A$6:$A$44,B40)=0,"not in panel",IF(A40=Data_Panel!$D$5,SUMIFS(Data_Panel!$D$6:$D$44,Data_Panel!$A$6:$A$44,B40),IF(A40=Data_Panel!$E$5,SUMIFS(Data_Panel!$E$6:$E$44,Data_Panel!$A$6:$A$44,B40),IF(A40=Data_Panel!$F$5,SUMIFS(Data_Panel!$F$6:$F$44,Data_Panel!$A$6:$A$44,B40),IF(A40=Data_Panel!$G$5,SUMIFS(Data_Panel!$G$6:$G$44,Data_Panel!$A$6:$A$44,B40),IF(A40=Data_Panel!$H$5,SUMIFS(Data_Panel!$H$6:$H$44,Data_Panel!$A$6:$A$44,B40),IF(A40=Data_Panel!$I$5,SUMIFS(Data_Panel!$I$6:$I$44,Data_Panel!$A$6:$A$44,B40),IF(A40=Data_Panel!$J$5,SUMIFS(Data_Panel!$J$6:$J$44,Data_Panel!$A$6:$A$44,B40),"period not in panel"))))))))</f>
        <v>4765</v>
      </c>
      <c r="M40" s="20" t="n">
        <f aca="false">IF(L40="not in panel",0,ABS(N(L40)-D40))</f>
        <v>0</v>
      </c>
    </row>
    <row r="41" customFormat="false" ht="15" hidden="false" customHeight="false" outlineLevel="0" collapsed="false">
      <c r="A41" s="6" t="s">
        <v>74</v>
      </c>
      <c r="B41" s="6" t="s">
        <v>108</v>
      </c>
      <c r="C41" s="6" t="s">
        <v>109</v>
      </c>
      <c r="D41" s="18" t="n">
        <v>1289</v>
      </c>
      <c r="E41" s="6" t="s">
        <v>83</v>
      </c>
      <c r="F41" s="6" t="s">
        <v>208</v>
      </c>
      <c r="G41" s="6" t="s">
        <v>209</v>
      </c>
      <c r="H41" s="6"/>
      <c r="I41" s="6" t="s">
        <v>253</v>
      </c>
      <c r="J41" s="6" t="s">
        <v>252</v>
      </c>
      <c r="K41" s="6" t="n">
        <f aca="false">COUNTIFS($A$6:$A$243,A41,$B$6:$B$243,B41)</f>
        <v>1</v>
      </c>
      <c r="L41" s="19" t="n">
        <f aca="false">IF(COUNTIF(Data_Panel!$A$6:$A$44,B41)=0,"not in panel",IF(A41=Data_Panel!$D$5,SUMIFS(Data_Panel!$D$6:$D$44,Data_Panel!$A$6:$A$44,B41),IF(A41=Data_Panel!$E$5,SUMIFS(Data_Panel!$E$6:$E$44,Data_Panel!$A$6:$A$44,B41),IF(A41=Data_Panel!$F$5,SUMIFS(Data_Panel!$F$6:$F$44,Data_Panel!$A$6:$A$44,B41),IF(A41=Data_Panel!$G$5,SUMIFS(Data_Panel!$G$6:$G$44,Data_Panel!$A$6:$A$44,B41),IF(A41=Data_Panel!$H$5,SUMIFS(Data_Panel!$H$6:$H$44,Data_Panel!$A$6:$A$44,B41),IF(A41=Data_Panel!$I$5,SUMIFS(Data_Panel!$I$6:$I$44,Data_Panel!$A$6:$A$44,B41),IF(A41=Data_Panel!$J$5,SUMIFS(Data_Panel!$J$6:$J$44,Data_Panel!$A$6:$A$44,B41),"period not in panel"))))))))</f>
        <v>1289</v>
      </c>
      <c r="M41" s="20" t="n">
        <f aca="false">IF(L41="not in panel",0,ABS(N(L41)-D41))</f>
        <v>0</v>
      </c>
    </row>
    <row r="42" customFormat="false" ht="15" hidden="false" customHeight="false" outlineLevel="0" collapsed="false">
      <c r="A42" s="6" t="s">
        <v>74</v>
      </c>
      <c r="B42" s="6" t="s">
        <v>111</v>
      </c>
      <c r="C42" s="6" t="s">
        <v>201</v>
      </c>
      <c r="D42" s="18" t="n">
        <v>880</v>
      </c>
      <c r="E42" s="6" t="s">
        <v>83</v>
      </c>
      <c r="F42" s="6" t="s">
        <v>208</v>
      </c>
      <c r="G42" s="6" t="s">
        <v>209</v>
      </c>
      <c r="H42" s="6"/>
      <c r="I42" s="6" t="s">
        <v>253</v>
      </c>
      <c r="J42" s="6" t="s">
        <v>252</v>
      </c>
      <c r="K42" s="6" t="n">
        <f aca="false">COUNTIFS($A$6:$A$243,A42,$B$6:$B$243,B42)</f>
        <v>1</v>
      </c>
      <c r="L42" s="19" t="n">
        <f aca="false">IF(COUNTIF(Data_Panel!$A$6:$A$44,B42)=0,"not in panel",IF(A42=Data_Panel!$D$5,SUMIFS(Data_Panel!$D$6:$D$44,Data_Panel!$A$6:$A$44,B42),IF(A42=Data_Panel!$E$5,SUMIFS(Data_Panel!$E$6:$E$44,Data_Panel!$A$6:$A$44,B42),IF(A42=Data_Panel!$F$5,SUMIFS(Data_Panel!$F$6:$F$44,Data_Panel!$A$6:$A$44,B42),IF(A42=Data_Panel!$G$5,SUMIFS(Data_Panel!$G$6:$G$44,Data_Panel!$A$6:$A$44,B42),IF(A42=Data_Panel!$H$5,SUMIFS(Data_Panel!$H$6:$H$44,Data_Panel!$A$6:$A$44,B42),IF(A42=Data_Panel!$I$5,SUMIFS(Data_Panel!$I$6:$I$44,Data_Panel!$A$6:$A$44,B42),IF(A42=Data_Panel!$J$5,SUMIFS(Data_Panel!$J$6:$J$44,Data_Panel!$A$6:$A$44,B42),"period not in panel"))))))))</f>
        <v>880</v>
      </c>
      <c r="M42" s="20" t="n">
        <f aca="false">IF(L42="not in panel",0,ABS(N(L42)-D42))</f>
        <v>0</v>
      </c>
    </row>
    <row r="43" customFormat="false" ht="15" hidden="false" customHeight="false" outlineLevel="0" collapsed="false">
      <c r="A43" s="6" t="s">
        <v>74</v>
      </c>
      <c r="B43" s="6" t="s">
        <v>116</v>
      </c>
      <c r="C43" s="6" t="s">
        <v>203</v>
      </c>
      <c r="D43" s="18" t="n">
        <v>410</v>
      </c>
      <c r="E43" s="6" t="s">
        <v>83</v>
      </c>
      <c r="F43" s="6" t="s">
        <v>208</v>
      </c>
      <c r="G43" s="6" t="s">
        <v>209</v>
      </c>
      <c r="H43" s="6"/>
      <c r="I43" s="6" t="s">
        <v>254</v>
      </c>
      <c r="J43" s="6" t="s">
        <v>252</v>
      </c>
      <c r="K43" s="6" t="n">
        <f aca="false">COUNTIFS($A$6:$A$243,A43,$B$6:$B$243,B43)</f>
        <v>1</v>
      </c>
      <c r="L43" s="19" t="n">
        <f aca="false">IF(COUNTIF(Data_Panel!$A$6:$A$44,B43)=0,"not in panel",IF(A43=Data_Panel!$D$5,SUMIFS(Data_Panel!$D$6:$D$44,Data_Panel!$A$6:$A$44,B43),IF(A43=Data_Panel!$E$5,SUMIFS(Data_Panel!$E$6:$E$44,Data_Panel!$A$6:$A$44,B43),IF(A43=Data_Panel!$F$5,SUMIFS(Data_Panel!$F$6:$F$44,Data_Panel!$A$6:$A$44,B43),IF(A43=Data_Panel!$G$5,SUMIFS(Data_Panel!$G$6:$G$44,Data_Panel!$A$6:$A$44,B43),IF(A43=Data_Panel!$H$5,SUMIFS(Data_Panel!$H$6:$H$44,Data_Panel!$A$6:$A$44,B43),IF(A43=Data_Panel!$I$5,SUMIFS(Data_Panel!$I$6:$I$44,Data_Panel!$A$6:$A$44,B43),IF(A43=Data_Panel!$J$5,SUMIFS(Data_Panel!$J$6:$J$44,Data_Panel!$A$6:$A$44,B43),"period not in panel"))))))))</f>
        <v>410</v>
      </c>
      <c r="M43" s="20" t="n">
        <f aca="false">IF(L43="not in panel",0,ABS(N(L43)-D43))</f>
        <v>0</v>
      </c>
    </row>
    <row r="44" customFormat="false" ht="15" hidden="false" customHeight="false" outlineLevel="0" collapsed="false">
      <c r="A44" s="6" t="s">
        <v>74</v>
      </c>
      <c r="B44" s="6" t="s">
        <v>119</v>
      </c>
      <c r="C44" s="6" t="s">
        <v>120</v>
      </c>
      <c r="D44" s="18" t="n">
        <v>533</v>
      </c>
      <c r="E44" s="6" t="s">
        <v>83</v>
      </c>
      <c r="F44" s="6" t="s">
        <v>208</v>
      </c>
      <c r="G44" s="6" t="s">
        <v>209</v>
      </c>
      <c r="H44" s="6"/>
      <c r="I44" s="6" t="s">
        <v>253</v>
      </c>
      <c r="J44" s="6" t="s">
        <v>252</v>
      </c>
      <c r="K44" s="6" t="n">
        <f aca="false">COUNTIFS($A$6:$A$243,A44,$B$6:$B$243,B44)</f>
        <v>1</v>
      </c>
      <c r="L44" s="19" t="n">
        <f aca="false">IF(COUNTIF(Data_Panel!$A$6:$A$44,B44)=0,"not in panel",IF(A44=Data_Panel!$D$5,SUMIFS(Data_Panel!$D$6:$D$44,Data_Panel!$A$6:$A$44,B44),IF(A44=Data_Panel!$E$5,SUMIFS(Data_Panel!$E$6:$E$44,Data_Panel!$A$6:$A$44,B44),IF(A44=Data_Panel!$F$5,SUMIFS(Data_Panel!$F$6:$F$44,Data_Panel!$A$6:$A$44,B44),IF(A44=Data_Panel!$G$5,SUMIFS(Data_Panel!$G$6:$G$44,Data_Panel!$A$6:$A$44,B44),IF(A44=Data_Panel!$H$5,SUMIFS(Data_Panel!$H$6:$H$44,Data_Panel!$A$6:$A$44,B44),IF(A44=Data_Panel!$I$5,SUMIFS(Data_Panel!$I$6:$I$44,Data_Panel!$A$6:$A$44,B44),IF(A44=Data_Panel!$J$5,SUMIFS(Data_Panel!$J$6:$J$44,Data_Panel!$A$6:$A$44,B44),"period not in panel"))))))))</f>
        <v>533</v>
      </c>
      <c r="M44" s="20" t="n">
        <f aca="false">IF(L44="not in panel",0,ABS(N(L44)-D44))</f>
        <v>0</v>
      </c>
    </row>
    <row r="45" customFormat="false" ht="15" hidden="false" customHeight="false" outlineLevel="0" collapsed="false">
      <c r="A45" s="6" t="s">
        <v>74</v>
      </c>
      <c r="B45" s="6" t="s">
        <v>121</v>
      </c>
      <c r="C45" s="6" t="s">
        <v>122</v>
      </c>
      <c r="D45" s="18" t="n">
        <v>1098</v>
      </c>
      <c r="E45" s="6" t="s">
        <v>83</v>
      </c>
      <c r="F45" s="6" t="s">
        <v>208</v>
      </c>
      <c r="G45" s="6" t="s">
        <v>209</v>
      </c>
      <c r="H45" s="6"/>
      <c r="I45" s="6" t="s">
        <v>253</v>
      </c>
      <c r="J45" s="6" t="s">
        <v>252</v>
      </c>
      <c r="K45" s="6" t="n">
        <f aca="false">COUNTIFS($A$6:$A$243,A45,$B$6:$B$243,B45)</f>
        <v>1</v>
      </c>
      <c r="L45" s="19" t="n">
        <f aca="false">IF(COUNTIF(Data_Panel!$A$6:$A$44,B45)=0,"not in panel",IF(A45=Data_Panel!$D$5,SUMIFS(Data_Panel!$D$6:$D$44,Data_Panel!$A$6:$A$44,B45),IF(A45=Data_Panel!$E$5,SUMIFS(Data_Panel!$E$6:$E$44,Data_Panel!$A$6:$A$44,B45),IF(A45=Data_Panel!$F$5,SUMIFS(Data_Panel!$F$6:$F$44,Data_Panel!$A$6:$A$44,B45),IF(A45=Data_Panel!$G$5,SUMIFS(Data_Panel!$G$6:$G$44,Data_Panel!$A$6:$A$44,B45),IF(A45=Data_Panel!$H$5,SUMIFS(Data_Panel!$H$6:$H$44,Data_Panel!$A$6:$A$44,B45),IF(A45=Data_Panel!$I$5,SUMIFS(Data_Panel!$I$6:$I$44,Data_Panel!$A$6:$A$44,B45),IF(A45=Data_Panel!$J$5,SUMIFS(Data_Panel!$J$6:$J$44,Data_Panel!$A$6:$A$44,B45),"period not in panel"))))))))</f>
        <v>1098</v>
      </c>
      <c r="M45" s="20" t="n">
        <f aca="false">IF(L45="not in panel",0,ABS(N(L45)-D45))</f>
        <v>0</v>
      </c>
    </row>
    <row r="46" customFormat="false" ht="15" hidden="false" customHeight="false" outlineLevel="0" collapsed="false">
      <c r="A46" s="6" t="s">
        <v>74</v>
      </c>
      <c r="B46" s="6" t="s">
        <v>123</v>
      </c>
      <c r="C46" s="6" t="s">
        <v>207</v>
      </c>
      <c r="D46" s="18" t="n">
        <v>947</v>
      </c>
      <c r="E46" s="6" t="s">
        <v>83</v>
      </c>
      <c r="F46" s="6" t="s">
        <v>208</v>
      </c>
      <c r="G46" s="6" t="s">
        <v>209</v>
      </c>
      <c r="H46" s="6"/>
      <c r="I46" s="6" t="s">
        <v>255</v>
      </c>
      <c r="J46" s="6" t="s">
        <v>256</v>
      </c>
      <c r="K46" s="6" t="n">
        <f aca="false">COUNTIFS($A$6:$A$243,A46,$B$6:$B$243,B46)</f>
        <v>1</v>
      </c>
      <c r="L46" s="19" t="n">
        <f aca="false">IF(COUNTIF(Data_Panel!$A$6:$A$44,B46)=0,"not in panel",IF(A46=Data_Panel!$D$5,SUMIFS(Data_Panel!$D$6:$D$44,Data_Panel!$A$6:$A$44,B46),IF(A46=Data_Panel!$E$5,SUMIFS(Data_Panel!$E$6:$E$44,Data_Panel!$A$6:$A$44,B46),IF(A46=Data_Panel!$F$5,SUMIFS(Data_Panel!$F$6:$F$44,Data_Panel!$A$6:$A$44,B46),IF(A46=Data_Panel!$G$5,SUMIFS(Data_Panel!$G$6:$G$44,Data_Panel!$A$6:$A$44,B46),IF(A46=Data_Panel!$H$5,SUMIFS(Data_Panel!$H$6:$H$44,Data_Panel!$A$6:$A$44,B46),IF(A46=Data_Panel!$I$5,SUMIFS(Data_Panel!$I$6:$I$44,Data_Panel!$A$6:$A$44,B46),IF(A46=Data_Panel!$J$5,SUMIFS(Data_Panel!$J$6:$J$44,Data_Panel!$A$6:$A$44,B46),"period not in panel"))))))))</f>
        <v>947</v>
      </c>
      <c r="M46" s="20" t="n">
        <f aca="false">IF(L46="not in panel",0,ABS(N(L46)-D46))</f>
        <v>0</v>
      </c>
    </row>
    <row r="47" customFormat="false" ht="15" hidden="false" customHeight="false" outlineLevel="0" collapsed="false">
      <c r="A47" s="6" t="s">
        <v>74</v>
      </c>
      <c r="B47" s="6" t="s">
        <v>126</v>
      </c>
      <c r="C47" s="6" t="s">
        <v>212</v>
      </c>
      <c r="D47" s="18" t="n">
        <v>1480</v>
      </c>
      <c r="E47" s="6" t="s">
        <v>83</v>
      </c>
      <c r="F47" s="6" t="s">
        <v>208</v>
      </c>
      <c r="G47" s="6" t="s">
        <v>209</v>
      </c>
      <c r="H47" s="6"/>
      <c r="I47" s="6" t="s">
        <v>253</v>
      </c>
      <c r="J47" s="6" t="s">
        <v>252</v>
      </c>
      <c r="K47" s="6" t="n">
        <f aca="false">COUNTIFS($A$6:$A$243,A47,$B$6:$B$243,B47)</f>
        <v>1</v>
      </c>
      <c r="L47" s="19" t="n">
        <f aca="false">IF(COUNTIF(Data_Panel!$A$6:$A$44,B47)=0,"not in panel",IF(A47=Data_Panel!$D$5,SUMIFS(Data_Panel!$D$6:$D$44,Data_Panel!$A$6:$A$44,B47),IF(A47=Data_Panel!$E$5,SUMIFS(Data_Panel!$E$6:$E$44,Data_Panel!$A$6:$A$44,B47),IF(A47=Data_Panel!$F$5,SUMIFS(Data_Panel!$F$6:$F$44,Data_Panel!$A$6:$A$44,B47),IF(A47=Data_Panel!$G$5,SUMIFS(Data_Panel!$G$6:$G$44,Data_Panel!$A$6:$A$44,B47),IF(A47=Data_Panel!$H$5,SUMIFS(Data_Panel!$H$6:$H$44,Data_Panel!$A$6:$A$44,B47),IF(A47=Data_Panel!$I$5,SUMIFS(Data_Panel!$I$6:$I$44,Data_Panel!$A$6:$A$44,B47),IF(A47=Data_Panel!$J$5,SUMIFS(Data_Panel!$J$6:$J$44,Data_Panel!$A$6:$A$44,B47),"period not in panel"))))))))</f>
        <v>1480</v>
      </c>
      <c r="M47" s="20" t="n">
        <f aca="false">IF(L47="not in panel",0,ABS(N(L47)-D47))</f>
        <v>0</v>
      </c>
    </row>
    <row r="48" customFormat="false" ht="15" hidden="false" customHeight="false" outlineLevel="0" collapsed="false">
      <c r="A48" s="6" t="s">
        <v>74</v>
      </c>
      <c r="B48" s="6" t="s">
        <v>132</v>
      </c>
      <c r="C48" s="6" t="s">
        <v>133</v>
      </c>
      <c r="D48" s="18" t="n">
        <v>1756.448492</v>
      </c>
      <c r="E48" s="6" t="s">
        <v>83</v>
      </c>
      <c r="F48" s="6" t="s">
        <v>208</v>
      </c>
      <c r="G48" s="6" t="s">
        <v>209</v>
      </c>
      <c r="H48" s="6"/>
      <c r="I48" s="6" t="s">
        <v>257</v>
      </c>
      <c r="J48" s="6" t="s">
        <v>258</v>
      </c>
      <c r="K48" s="6" t="n">
        <f aca="false">COUNTIFS($A$6:$A$243,A48,$B$6:$B$243,B48)</f>
        <v>1</v>
      </c>
      <c r="L48" s="19" t="n">
        <f aca="false">IF(COUNTIF(Data_Panel!$A$6:$A$44,B48)=0,"not in panel",IF(A48=Data_Panel!$D$5,SUMIFS(Data_Panel!$D$6:$D$44,Data_Panel!$A$6:$A$44,B48),IF(A48=Data_Panel!$E$5,SUMIFS(Data_Panel!$E$6:$E$44,Data_Panel!$A$6:$A$44,B48),IF(A48=Data_Panel!$F$5,SUMIFS(Data_Panel!$F$6:$F$44,Data_Panel!$A$6:$A$44,B48),IF(A48=Data_Panel!$G$5,SUMIFS(Data_Panel!$G$6:$G$44,Data_Panel!$A$6:$A$44,B48),IF(A48=Data_Panel!$H$5,SUMIFS(Data_Panel!$H$6:$H$44,Data_Panel!$A$6:$A$44,B48),IF(A48=Data_Panel!$I$5,SUMIFS(Data_Panel!$I$6:$I$44,Data_Panel!$A$6:$A$44,B48),IF(A48=Data_Panel!$J$5,SUMIFS(Data_Panel!$J$6:$J$44,Data_Panel!$A$6:$A$44,B48),"period not in panel"))))))))</f>
        <v>1756.448492</v>
      </c>
      <c r="M48" s="20" t="n">
        <f aca="false">IF(L48="not in panel",0,ABS(N(L48)-D48))</f>
        <v>0</v>
      </c>
    </row>
    <row r="49" customFormat="false" ht="15" hidden="false" customHeight="false" outlineLevel="0" collapsed="false">
      <c r="A49" s="6" t="s">
        <v>74</v>
      </c>
      <c r="B49" s="6" t="s">
        <v>128</v>
      </c>
      <c r="C49" s="6" t="s">
        <v>217</v>
      </c>
      <c r="D49" s="18" t="n">
        <v>3864.039849</v>
      </c>
      <c r="E49" s="6" t="s">
        <v>83</v>
      </c>
      <c r="F49" s="6" t="s">
        <v>208</v>
      </c>
      <c r="G49" s="6" t="s">
        <v>209</v>
      </c>
      <c r="H49" s="6"/>
      <c r="I49" s="6" t="s">
        <v>257</v>
      </c>
      <c r="J49" s="6" t="s">
        <v>258</v>
      </c>
      <c r="K49" s="6" t="n">
        <f aca="false">COUNTIFS($A$6:$A$243,A49,$B$6:$B$243,B49)</f>
        <v>1</v>
      </c>
      <c r="L49" s="19" t="n">
        <f aca="false">IF(COUNTIF(Data_Panel!$A$6:$A$44,B49)=0,"not in panel",IF(A49=Data_Panel!$D$5,SUMIFS(Data_Panel!$D$6:$D$44,Data_Panel!$A$6:$A$44,B49),IF(A49=Data_Panel!$E$5,SUMIFS(Data_Panel!$E$6:$E$44,Data_Panel!$A$6:$A$44,B49),IF(A49=Data_Panel!$F$5,SUMIFS(Data_Panel!$F$6:$F$44,Data_Panel!$A$6:$A$44,B49),IF(A49=Data_Panel!$G$5,SUMIFS(Data_Panel!$G$6:$G$44,Data_Panel!$A$6:$A$44,B49),IF(A49=Data_Panel!$H$5,SUMIFS(Data_Panel!$H$6:$H$44,Data_Panel!$A$6:$A$44,B49),IF(A49=Data_Panel!$I$5,SUMIFS(Data_Panel!$I$6:$I$44,Data_Panel!$A$6:$A$44,B49),IF(A49=Data_Panel!$J$5,SUMIFS(Data_Panel!$J$6:$J$44,Data_Panel!$A$6:$A$44,B49),"period not in panel"))))))))</f>
        <v>3864.039849</v>
      </c>
      <c r="M49" s="20" t="n">
        <f aca="false">IF(L49="not in panel",0,ABS(N(L49)-D49))</f>
        <v>0</v>
      </c>
    </row>
    <row r="50" customFormat="false" ht="15" hidden="false" customHeight="false" outlineLevel="0" collapsed="false">
      <c r="A50" s="6" t="s">
        <v>74</v>
      </c>
      <c r="B50" s="6" t="s">
        <v>130</v>
      </c>
      <c r="C50" s="6" t="s">
        <v>219</v>
      </c>
      <c r="D50" s="18" t="n">
        <v>-2107.591357</v>
      </c>
      <c r="E50" s="6" t="s">
        <v>83</v>
      </c>
      <c r="F50" s="6" t="s">
        <v>208</v>
      </c>
      <c r="G50" s="6" t="s">
        <v>209</v>
      </c>
      <c r="H50" s="6"/>
      <c r="I50" s="6" t="s">
        <v>257</v>
      </c>
      <c r="J50" s="6" t="s">
        <v>258</v>
      </c>
      <c r="K50" s="6" t="n">
        <f aca="false">COUNTIFS($A$6:$A$243,A50,$B$6:$B$243,B50)</f>
        <v>1</v>
      </c>
      <c r="L50" s="19" t="n">
        <f aca="false">IF(COUNTIF(Data_Panel!$A$6:$A$44,B50)=0,"not in panel",IF(A50=Data_Panel!$D$5,SUMIFS(Data_Panel!$D$6:$D$44,Data_Panel!$A$6:$A$44,B50),IF(A50=Data_Panel!$E$5,SUMIFS(Data_Panel!$E$6:$E$44,Data_Panel!$A$6:$A$44,B50),IF(A50=Data_Panel!$F$5,SUMIFS(Data_Panel!$F$6:$F$44,Data_Panel!$A$6:$A$44,B50),IF(A50=Data_Panel!$G$5,SUMIFS(Data_Panel!$G$6:$G$44,Data_Panel!$A$6:$A$44,B50),IF(A50=Data_Panel!$H$5,SUMIFS(Data_Panel!$H$6:$H$44,Data_Panel!$A$6:$A$44,B50),IF(A50=Data_Panel!$I$5,SUMIFS(Data_Panel!$I$6:$I$44,Data_Panel!$A$6:$A$44,B50),IF(A50=Data_Panel!$J$5,SUMIFS(Data_Panel!$J$6:$J$44,Data_Panel!$A$6:$A$44,B50),"period not in panel"))))))))</f>
        <v>-2107.591357</v>
      </c>
      <c r="M50" s="20" t="n">
        <f aca="false">IF(L50="not in panel",0,ABS(N(L50)-D50))</f>
        <v>0</v>
      </c>
    </row>
    <row r="51" customFormat="false" ht="15" hidden="false" customHeight="false" outlineLevel="0" collapsed="false">
      <c r="A51" s="6" t="s">
        <v>74</v>
      </c>
      <c r="B51" s="6" t="s">
        <v>134</v>
      </c>
      <c r="C51" s="6" t="s">
        <v>221</v>
      </c>
      <c r="D51" s="18" t="n">
        <v>7215.001118</v>
      </c>
      <c r="E51" s="6" t="s">
        <v>83</v>
      </c>
      <c r="F51" s="6" t="s">
        <v>208</v>
      </c>
      <c r="G51" s="6" t="s">
        <v>209</v>
      </c>
      <c r="H51" s="6"/>
      <c r="I51" s="6" t="s">
        <v>259</v>
      </c>
      <c r="J51" s="6" t="s">
        <v>216</v>
      </c>
      <c r="K51" s="6" t="n">
        <f aca="false">COUNTIFS($A$6:$A$243,A51,$B$6:$B$243,B51)</f>
        <v>1</v>
      </c>
      <c r="L51" s="19" t="n">
        <f aca="false">IF(COUNTIF(Data_Panel!$A$6:$A$44,B51)=0,"not in panel",IF(A51=Data_Panel!$D$5,SUMIFS(Data_Panel!$D$6:$D$44,Data_Panel!$A$6:$A$44,B51),IF(A51=Data_Panel!$E$5,SUMIFS(Data_Panel!$E$6:$E$44,Data_Panel!$A$6:$A$44,B51),IF(A51=Data_Panel!$F$5,SUMIFS(Data_Panel!$F$6:$F$44,Data_Panel!$A$6:$A$44,B51),IF(A51=Data_Panel!$G$5,SUMIFS(Data_Panel!$G$6:$G$44,Data_Panel!$A$6:$A$44,B51),IF(A51=Data_Panel!$H$5,SUMIFS(Data_Panel!$H$6:$H$44,Data_Panel!$A$6:$A$44,B51),IF(A51=Data_Panel!$I$5,SUMIFS(Data_Panel!$I$6:$I$44,Data_Panel!$A$6:$A$44,B51),IF(A51=Data_Panel!$J$5,SUMIFS(Data_Panel!$J$6:$J$44,Data_Panel!$A$6:$A$44,B51),"period not in panel"))))))))</f>
        <v>7215.001118</v>
      </c>
      <c r="M51" s="20" t="n">
        <f aca="false">IF(L51="not in panel",0,ABS(N(L51)-D51))</f>
        <v>0</v>
      </c>
    </row>
    <row r="52" customFormat="false" ht="15" hidden="false" customHeight="false" outlineLevel="0" collapsed="false">
      <c r="A52" s="6" t="s">
        <v>74</v>
      </c>
      <c r="B52" s="6" t="s">
        <v>136</v>
      </c>
      <c r="C52" s="6" t="s">
        <v>137</v>
      </c>
      <c r="D52" s="18" t="n">
        <v>1792</v>
      </c>
      <c r="E52" s="6" t="s">
        <v>83</v>
      </c>
      <c r="F52" s="6" t="s">
        <v>208</v>
      </c>
      <c r="G52" s="6" t="s">
        <v>209</v>
      </c>
      <c r="H52" s="6"/>
      <c r="I52" s="6" t="s">
        <v>251</v>
      </c>
      <c r="J52" s="6" t="s">
        <v>252</v>
      </c>
      <c r="K52" s="6" t="n">
        <f aca="false">COUNTIFS($A$6:$A$243,A52,$B$6:$B$243,B52)</f>
        <v>1</v>
      </c>
      <c r="L52" s="19" t="n">
        <f aca="false">IF(COUNTIF(Data_Panel!$A$6:$A$44,B52)=0,"not in panel",IF(A52=Data_Panel!$D$5,SUMIFS(Data_Panel!$D$6:$D$44,Data_Panel!$A$6:$A$44,B52),IF(A52=Data_Panel!$E$5,SUMIFS(Data_Panel!$E$6:$E$44,Data_Panel!$A$6:$A$44,B52),IF(A52=Data_Panel!$F$5,SUMIFS(Data_Panel!$F$6:$F$44,Data_Panel!$A$6:$A$44,B52),IF(A52=Data_Panel!$G$5,SUMIFS(Data_Panel!$G$6:$G$44,Data_Panel!$A$6:$A$44,B52),IF(A52=Data_Panel!$H$5,SUMIFS(Data_Panel!$H$6:$H$44,Data_Panel!$A$6:$A$44,B52),IF(A52=Data_Panel!$I$5,SUMIFS(Data_Panel!$I$6:$I$44,Data_Panel!$A$6:$A$44,B52),IF(A52=Data_Panel!$J$5,SUMIFS(Data_Panel!$J$6:$J$44,Data_Panel!$A$6:$A$44,B52),"period not in panel"))))))))</f>
        <v>1792</v>
      </c>
      <c r="M52" s="20" t="n">
        <f aca="false">IF(L52="not in panel",0,ABS(N(L52)-D52))</f>
        <v>0</v>
      </c>
    </row>
    <row r="53" customFormat="false" ht="15" hidden="false" customHeight="false" outlineLevel="0" collapsed="false">
      <c r="A53" s="6" t="s">
        <v>74</v>
      </c>
      <c r="B53" s="6" t="s">
        <v>138</v>
      </c>
      <c r="C53" s="6" t="s">
        <v>139</v>
      </c>
      <c r="D53" s="18" t="n">
        <v>128</v>
      </c>
      <c r="E53" s="6" t="s">
        <v>83</v>
      </c>
      <c r="F53" s="6" t="s">
        <v>208</v>
      </c>
      <c r="G53" s="6" t="s">
        <v>209</v>
      </c>
      <c r="H53" s="6"/>
      <c r="I53" s="6" t="s">
        <v>251</v>
      </c>
      <c r="J53" s="6" t="s">
        <v>252</v>
      </c>
      <c r="K53" s="6" t="n">
        <f aca="false">COUNTIFS($A$6:$A$243,A53,$B$6:$B$243,B53)</f>
        <v>1</v>
      </c>
      <c r="L53" s="19" t="n">
        <f aca="false">IF(COUNTIF(Data_Panel!$A$6:$A$44,B53)=0,"not in panel",IF(A53=Data_Panel!$D$5,SUMIFS(Data_Panel!$D$6:$D$44,Data_Panel!$A$6:$A$44,B53),IF(A53=Data_Panel!$E$5,SUMIFS(Data_Panel!$E$6:$E$44,Data_Panel!$A$6:$A$44,B53),IF(A53=Data_Panel!$F$5,SUMIFS(Data_Panel!$F$6:$F$44,Data_Panel!$A$6:$A$44,B53),IF(A53=Data_Panel!$G$5,SUMIFS(Data_Panel!$G$6:$G$44,Data_Panel!$A$6:$A$44,B53),IF(A53=Data_Panel!$H$5,SUMIFS(Data_Panel!$H$6:$H$44,Data_Panel!$A$6:$A$44,B53),IF(A53=Data_Panel!$I$5,SUMIFS(Data_Panel!$I$6:$I$44,Data_Panel!$A$6:$A$44,B53),IF(A53=Data_Panel!$J$5,SUMIFS(Data_Panel!$J$6:$J$44,Data_Panel!$A$6:$A$44,B53),"period not in panel"))))))))</f>
        <v>128</v>
      </c>
      <c r="M53" s="20" t="n">
        <f aca="false">IF(L53="not in panel",0,ABS(N(L53)-D53))</f>
        <v>0</v>
      </c>
    </row>
    <row r="54" customFormat="false" ht="15" hidden="false" customHeight="false" outlineLevel="0" collapsed="false">
      <c r="A54" s="6" t="s">
        <v>74</v>
      </c>
      <c r="B54" s="6" t="s">
        <v>81</v>
      </c>
      <c r="C54" s="6" t="s">
        <v>82</v>
      </c>
      <c r="D54" s="18" t="n">
        <v>20098.709794</v>
      </c>
      <c r="E54" s="6" t="s">
        <v>83</v>
      </c>
      <c r="F54" s="6" t="s">
        <v>208</v>
      </c>
      <c r="G54" s="6" t="s">
        <v>209</v>
      </c>
      <c r="H54" s="6"/>
      <c r="I54" s="6" t="s">
        <v>257</v>
      </c>
      <c r="J54" s="6" t="s">
        <v>258</v>
      </c>
      <c r="K54" s="6" t="n">
        <f aca="false">COUNTIFS($A$6:$A$243,A54,$B$6:$B$243,B54)</f>
        <v>1</v>
      </c>
      <c r="L54" s="19" t="n">
        <f aca="false">IF(COUNTIF(Data_Panel!$A$6:$A$44,B54)=0,"not in panel",IF(A54=Data_Panel!$D$5,SUMIFS(Data_Panel!$D$6:$D$44,Data_Panel!$A$6:$A$44,B54),IF(A54=Data_Panel!$E$5,SUMIFS(Data_Panel!$E$6:$E$44,Data_Panel!$A$6:$A$44,B54),IF(A54=Data_Panel!$F$5,SUMIFS(Data_Panel!$F$6:$F$44,Data_Panel!$A$6:$A$44,B54),IF(A54=Data_Panel!$G$5,SUMIFS(Data_Panel!$G$6:$G$44,Data_Panel!$A$6:$A$44,B54),IF(A54=Data_Panel!$H$5,SUMIFS(Data_Panel!$H$6:$H$44,Data_Panel!$A$6:$A$44,B54),IF(A54=Data_Panel!$I$5,SUMIFS(Data_Panel!$I$6:$I$44,Data_Panel!$A$6:$A$44,B54),IF(A54=Data_Panel!$J$5,SUMIFS(Data_Panel!$J$6:$J$44,Data_Panel!$A$6:$A$44,B54),"period not in panel"))))))))</f>
        <v>20098.709794</v>
      </c>
      <c r="M54" s="20" t="n">
        <f aca="false">IF(L54="not in panel",0,ABS(N(L54)-D54))</f>
        <v>0</v>
      </c>
    </row>
    <row r="55" customFormat="false" ht="15" hidden="false" customHeight="false" outlineLevel="0" collapsed="false">
      <c r="A55" s="6" t="s">
        <v>74</v>
      </c>
      <c r="B55" s="6" t="s">
        <v>85</v>
      </c>
      <c r="C55" s="6" t="s">
        <v>86</v>
      </c>
      <c r="D55" s="18" t="n">
        <v>-14402.25453</v>
      </c>
      <c r="E55" s="6" t="s">
        <v>83</v>
      </c>
      <c r="F55" s="6" t="s">
        <v>208</v>
      </c>
      <c r="G55" s="6" t="s">
        <v>209</v>
      </c>
      <c r="H55" s="6"/>
      <c r="I55" s="6" t="s">
        <v>257</v>
      </c>
      <c r="J55" s="6" t="s">
        <v>258</v>
      </c>
      <c r="K55" s="6" t="n">
        <f aca="false">COUNTIFS($A$6:$A$243,A55,$B$6:$B$243,B55)</f>
        <v>1</v>
      </c>
      <c r="L55" s="19" t="n">
        <f aca="false">IF(COUNTIF(Data_Panel!$A$6:$A$44,B55)=0,"not in panel",IF(A55=Data_Panel!$D$5,SUMIFS(Data_Panel!$D$6:$D$44,Data_Panel!$A$6:$A$44,B55),IF(A55=Data_Panel!$E$5,SUMIFS(Data_Panel!$E$6:$E$44,Data_Panel!$A$6:$A$44,B55),IF(A55=Data_Panel!$F$5,SUMIFS(Data_Panel!$F$6:$F$44,Data_Panel!$A$6:$A$44,B55),IF(A55=Data_Panel!$G$5,SUMIFS(Data_Panel!$G$6:$G$44,Data_Panel!$A$6:$A$44,B55),IF(A55=Data_Panel!$H$5,SUMIFS(Data_Panel!$H$6:$H$44,Data_Panel!$A$6:$A$44,B55),IF(A55=Data_Panel!$I$5,SUMIFS(Data_Panel!$I$6:$I$44,Data_Panel!$A$6:$A$44,B55),IF(A55=Data_Panel!$J$5,SUMIFS(Data_Panel!$J$6:$J$44,Data_Panel!$A$6:$A$44,B55),"period not in panel"))))))))</f>
        <v>-14402.25453</v>
      </c>
      <c r="M55" s="20" t="n">
        <f aca="false">IF(L55="not in panel",0,ABS(N(L55)-D55))</f>
        <v>0</v>
      </c>
    </row>
    <row r="56" customFormat="false" ht="15" hidden="false" customHeight="false" outlineLevel="0" collapsed="false">
      <c r="A56" s="6" t="s">
        <v>74</v>
      </c>
      <c r="B56" s="6" t="s">
        <v>87</v>
      </c>
      <c r="C56" s="6" t="s">
        <v>88</v>
      </c>
      <c r="D56" s="18" t="n">
        <v>5696.455265</v>
      </c>
      <c r="E56" s="6" t="s">
        <v>83</v>
      </c>
      <c r="F56" s="6" t="s">
        <v>208</v>
      </c>
      <c r="G56" s="6" t="s">
        <v>209</v>
      </c>
      <c r="H56" s="6"/>
      <c r="I56" s="6" t="s">
        <v>257</v>
      </c>
      <c r="J56" s="6" t="s">
        <v>258</v>
      </c>
      <c r="K56" s="6" t="n">
        <f aca="false">COUNTIFS($A$6:$A$243,A56,$B$6:$B$243,B56)</f>
        <v>1</v>
      </c>
      <c r="L56" s="19" t="n">
        <f aca="false">IF(COUNTIF(Data_Panel!$A$6:$A$44,B56)=0,"not in panel",IF(A56=Data_Panel!$D$5,SUMIFS(Data_Panel!$D$6:$D$44,Data_Panel!$A$6:$A$44,B56),IF(A56=Data_Panel!$E$5,SUMIFS(Data_Panel!$E$6:$E$44,Data_Panel!$A$6:$A$44,B56),IF(A56=Data_Panel!$F$5,SUMIFS(Data_Panel!$F$6:$F$44,Data_Panel!$A$6:$A$44,B56),IF(A56=Data_Panel!$G$5,SUMIFS(Data_Panel!$G$6:$G$44,Data_Panel!$A$6:$A$44,B56),IF(A56=Data_Panel!$H$5,SUMIFS(Data_Panel!$H$6:$H$44,Data_Panel!$A$6:$A$44,B56),IF(A56=Data_Panel!$I$5,SUMIFS(Data_Panel!$I$6:$I$44,Data_Panel!$A$6:$A$44,B56),IF(A56=Data_Panel!$J$5,SUMIFS(Data_Panel!$J$6:$J$44,Data_Panel!$A$6:$A$44,B56),"period not in panel"))))))))</f>
        <v>5696.455265</v>
      </c>
      <c r="M56" s="20" t="n">
        <f aca="false">IF(L56="not in panel",0,ABS(N(L56)-D56))</f>
        <v>0</v>
      </c>
    </row>
    <row r="57" customFormat="false" ht="15" hidden="false" customHeight="false" outlineLevel="0" collapsed="false">
      <c r="A57" s="6" t="s">
        <v>74</v>
      </c>
      <c r="B57" s="6" t="s">
        <v>89</v>
      </c>
      <c r="C57" s="6" t="s">
        <v>90</v>
      </c>
      <c r="D57" s="18" t="n">
        <v>-1576.460718</v>
      </c>
      <c r="E57" s="6" t="s">
        <v>83</v>
      </c>
      <c r="F57" s="6" t="s">
        <v>208</v>
      </c>
      <c r="G57" s="6" t="s">
        <v>209</v>
      </c>
      <c r="H57" s="6"/>
      <c r="I57" s="6" t="s">
        <v>257</v>
      </c>
      <c r="J57" s="6" t="s">
        <v>258</v>
      </c>
      <c r="K57" s="6" t="n">
        <f aca="false">COUNTIFS($A$6:$A$243,A57,$B$6:$B$243,B57)</f>
        <v>1</v>
      </c>
      <c r="L57" s="19" t="n">
        <f aca="false">IF(COUNTIF(Data_Panel!$A$6:$A$44,B57)=0,"not in panel",IF(A57=Data_Panel!$D$5,SUMIFS(Data_Panel!$D$6:$D$44,Data_Panel!$A$6:$A$44,B57),IF(A57=Data_Panel!$E$5,SUMIFS(Data_Panel!$E$6:$E$44,Data_Panel!$A$6:$A$44,B57),IF(A57=Data_Panel!$F$5,SUMIFS(Data_Panel!$F$6:$F$44,Data_Panel!$A$6:$A$44,B57),IF(A57=Data_Panel!$G$5,SUMIFS(Data_Panel!$G$6:$G$44,Data_Panel!$A$6:$A$44,B57),IF(A57=Data_Panel!$H$5,SUMIFS(Data_Panel!$H$6:$H$44,Data_Panel!$A$6:$A$44,B57),IF(A57=Data_Panel!$I$5,SUMIFS(Data_Panel!$I$6:$I$44,Data_Panel!$A$6:$A$44,B57),IF(A57=Data_Panel!$J$5,SUMIFS(Data_Panel!$J$6:$J$44,Data_Panel!$A$6:$A$44,B57),"period not in panel"))))))))</f>
        <v>-1576.460718</v>
      </c>
      <c r="M57" s="20" t="n">
        <f aca="false">IF(L57="not in panel",0,ABS(N(L57)-D57))</f>
        <v>0</v>
      </c>
    </row>
    <row r="58" customFormat="false" ht="15" hidden="false" customHeight="false" outlineLevel="0" collapsed="false">
      <c r="A58" s="6" t="s">
        <v>74</v>
      </c>
      <c r="B58" s="6" t="s">
        <v>91</v>
      </c>
      <c r="C58" s="6" t="s">
        <v>92</v>
      </c>
      <c r="D58" s="18" t="n">
        <v>-911.689413</v>
      </c>
      <c r="E58" s="6" t="s">
        <v>83</v>
      </c>
      <c r="F58" s="6" t="s">
        <v>208</v>
      </c>
      <c r="G58" s="6" t="s">
        <v>209</v>
      </c>
      <c r="H58" s="6"/>
      <c r="I58" s="6" t="s">
        <v>257</v>
      </c>
      <c r="J58" s="6" t="s">
        <v>258</v>
      </c>
      <c r="K58" s="6" t="n">
        <f aca="false">COUNTIFS($A$6:$A$243,A58,$B$6:$B$243,B58)</f>
        <v>1</v>
      </c>
      <c r="L58" s="19" t="n">
        <f aca="false">IF(COUNTIF(Data_Panel!$A$6:$A$44,B58)=0,"not in panel",IF(A58=Data_Panel!$D$5,SUMIFS(Data_Panel!$D$6:$D$44,Data_Panel!$A$6:$A$44,B58),IF(A58=Data_Panel!$E$5,SUMIFS(Data_Panel!$E$6:$E$44,Data_Panel!$A$6:$A$44,B58),IF(A58=Data_Panel!$F$5,SUMIFS(Data_Panel!$F$6:$F$44,Data_Panel!$A$6:$A$44,B58),IF(A58=Data_Panel!$G$5,SUMIFS(Data_Panel!$G$6:$G$44,Data_Panel!$A$6:$A$44,B58),IF(A58=Data_Panel!$H$5,SUMIFS(Data_Panel!$H$6:$H$44,Data_Panel!$A$6:$A$44,B58),IF(A58=Data_Panel!$I$5,SUMIFS(Data_Panel!$I$6:$I$44,Data_Panel!$A$6:$A$44,B58),IF(A58=Data_Panel!$J$5,SUMIFS(Data_Panel!$J$6:$J$44,Data_Panel!$A$6:$A$44,B58),"period not in panel"))))))))</f>
        <v>-911.689413</v>
      </c>
      <c r="M58" s="20" t="n">
        <f aca="false">IF(L58="not in panel",0,ABS(N(L58)-D58))</f>
        <v>0</v>
      </c>
    </row>
    <row r="59" customFormat="false" ht="15" hidden="false" customHeight="false" outlineLevel="0" collapsed="false">
      <c r="A59" s="6" t="s">
        <v>74</v>
      </c>
      <c r="B59" s="6" t="s">
        <v>93</v>
      </c>
      <c r="C59" s="6" t="s">
        <v>94</v>
      </c>
      <c r="D59" s="18" t="n">
        <v>223.767275</v>
      </c>
      <c r="E59" s="6" t="s">
        <v>83</v>
      </c>
      <c r="F59" s="6" t="s">
        <v>208</v>
      </c>
      <c r="G59" s="6" t="s">
        <v>209</v>
      </c>
      <c r="H59" s="6"/>
      <c r="I59" s="6" t="s">
        <v>257</v>
      </c>
      <c r="J59" s="6" t="s">
        <v>258</v>
      </c>
      <c r="K59" s="6" t="n">
        <f aca="false">COUNTIFS($A$6:$A$243,A59,$B$6:$B$243,B59)</f>
        <v>1</v>
      </c>
      <c r="L59" s="19" t="n">
        <f aca="false">IF(COUNTIF(Data_Panel!$A$6:$A$44,B59)=0,"not in panel",IF(A59=Data_Panel!$D$5,SUMIFS(Data_Panel!$D$6:$D$44,Data_Panel!$A$6:$A$44,B59),IF(A59=Data_Panel!$E$5,SUMIFS(Data_Panel!$E$6:$E$44,Data_Panel!$A$6:$A$44,B59),IF(A59=Data_Panel!$F$5,SUMIFS(Data_Panel!$F$6:$F$44,Data_Panel!$A$6:$A$44,B59),IF(A59=Data_Panel!$G$5,SUMIFS(Data_Panel!$G$6:$G$44,Data_Panel!$A$6:$A$44,B59),IF(A59=Data_Panel!$H$5,SUMIFS(Data_Panel!$H$6:$H$44,Data_Panel!$A$6:$A$44,B59),IF(A59=Data_Panel!$I$5,SUMIFS(Data_Panel!$I$6:$I$44,Data_Panel!$A$6:$A$44,B59),IF(A59=Data_Panel!$J$5,SUMIFS(Data_Panel!$J$6:$J$44,Data_Panel!$A$6:$A$44,B59),"period not in panel"))))))))</f>
        <v>223.767275</v>
      </c>
      <c r="M59" s="20" t="n">
        <f aca="false">IF(L59="not in panel",0,ABS(N(L59)-D59))</f>
        <v>0</v>
      </c>
    </row>
    <row r="60" customFormat="false" ht="15" hidden="false" customHeight="false" outlineLevel="0" collapsed="false">
      <c r="A60" s="6" t="s">
        <v>74</v>
      </c>
      <c r="B60" s="6" t="s">
        <v>95</v>
      </c>
      <c r="C60" s="6" t="s">
        <v>230</v>
      </c>
      <c r="D60" s="18" t="n">
        <v>3432.07241</v>
      </c>
      <c r="E60" s="6" t="s">
        <v>83</v>
      </c>
      <c r="F60" s="6" t="s">
        <v>208</v>
      </c>
      <c r="G60" s="6" t="s">
        <v>209</v>
      </c>
      <c r="H60" s="6"/>
      <c r="I60" s="6" t="s">
        <v>257</v>
      </c>
      <c r="J60" s="6" t="s">
        <v>258</v>
      </c>
      <c r="K60" s="6" t="n">
        <f aca="false">COUNTIFS($A$6:$A$243,A60,$B$6:$B$243,B60)</f>
        <v>1</v>
      </c>
      <c r="L60" s="19" t="n">
        <f aca="false">IF(COUNTIF(Data_Panel!$A$6:$A$44,B60)=0,"not in panel",IF(A60=Data_Panel!$D$5,SUMIFS(Data_Panel!$D$6:$D$44,Data_Panel!$A$6:$A$44,B60),IF(A60=Data_Panel!$E$5,SUMIFS(Data_Panel!$E$6:$E$44,Data_Panel!$A$6:$A$44,B60),IF(A60=Data_Panel!$F$5,SUMIFS(Data_Panel!$F$6:$F$44,Data_Panel!$A$6:$A$44,B60),IF(A60=Data_Panel!$G$5,SUMIFS(Data_Panel!$G$6:$G$44,Data_Panel!$A$6:$A$44,B60),IF(A60=Data_Panel!$H$5,SUMIFS(Data_Panel!$H$6:$H$44,Data_Panel!$A$6:$A$44,B60),IF(A60=Data_Panel!$I$5,SUMIFS(Data_Panel!$I$6:$I$44,Data_Panel!$A$6:$A$44,B60),IF(A60=Data_Panel!$J$5,SUMIFS(Data_Panel!$J$6:$J$44,Data_Panel!$A$6:$A$44,B60),"period not in panel"))))))))</f>
        <v>3432.07241</v>
      </c>
      <c r="M60" s="20" t="n">
        <f aca="false">IF(L60="not in panel",0,ABS(N(L60)-D60))</f>
        <v>0</v>
      </c>
    </row>
    <row r="61" customFormat="false" ht="15" hidden="false" customHeight="false" outlineLevel="0" collapsed="false">
      <c r="A61" s="6" t="s">
        <v>74</v>
      </c>
      <c r="B61" s="6" t="s">
        <v>165</v>
      </c>
      <c r="C61" s="6" t="s">
        <v>240</v>
      </c>
      <c r="D61" s="18" t="n">
        <v>152867</v>
      </c>
      <c r="E61" s="6" t="s">
        <v>167</v>
      </c>
      <c r="F61" s="6" t="s">
        <v>208</v>
      </c>
      <c r="G61" s="6" t="s">
        <v>209</v>
      </c>
      <c r="H61" s="6"/>
      <c r="I61" s="6" t="s">
        <v>257</v>
      </c>
      <c r="J61" s="6" t="s">
        <v>260</v>
      </c>
      <c r="K61" s="6" t="n">
        <f aca="false">COUNTIFS($A$6:$A$243,A61,$B$6:$B$243,B61)</f>
        <v>1</v>
      </c>
      <c r="L61" s="19" t="n">
        <f aca="false">IF(COUNTIF(Data_Panel!$A$6:$A$44,B61)=0,"not in panel",IF(A61=Data_Panel!$D$5,SUMIFS(Data_Panel!$D$6:$D$44,Data_Panel!$A$6:$A$44,B61),IF(A61=Data_Panel!$E$5,SUMIFS(Data_Panel!$E$6:$E$44,Data_Panel!$A$6:$A$44,B61),IF(A61=Data_Panel!$F$5,SUMIFS(Data_Panel!$F$6:$F$44,Data_Panel!$A$6:$A$44,B61),IF(A61=Data_Panel!$G$5,SUMIFS(Data_Panel!$G$6:$G$44,Data_Panel!$A$6:$A$44,B61),IF(A61=Data_Panel!$H$5,SUMIFS(Data_Panel!$H$6:$H$44,Data_Panel!$A$6:$A$44,B61),IF(A61=Data_Panel!$I$5,SUMIFS(Data_Panel!$I$6:$I$44,Data_Panel!$A$6:$A$44,B61),IF(A61=Data_Panel!$J$5,SUMIFS(Data_Panel!$J$6:$J$44,Data_Panel!$A$6:$A$44,B61),"period not in panel"))))))))</f>
        <v>152867</v>
      </c>
      <c r="M61" s="20" t="n">
        <f aca="false">IF(L61="not in panel",0,ABS(N(L61)-D61))</f>
        <v>0</v>
      </c>
    </row>
    <row r="62" customFormat="false" ht="15" hidden="false" customHeight="false" outlineLevel="0" collapsed="false">
      <c r="A62" s="6" t="s">
        <v>74</v>
      </c>
      <c r="B62" s="6" t="s">
        <v>168</v>
      </c>
      <c r="C62" s="6" t="s">
        <v>169</v>
      </c>
      <c r="D62" s="18" t="n">
        <v>162803</v>
      </c>
      <c r="E62" s="6" t="s">
        <v>167</v>
      </c>
      <c r="F62" s="6" t="s">
        <v>208</v>
      </c>
      <c r="G62" s="6" t="s">
        <v>209</v>
      </c>
      <c r="H62" s="6"/>
      <c r="I62" s="6" t="s">
        <v>257</v>
      </c>
      <c r="J62" s="6" t="s">
        <v>260</v>
      </c>
      <c r="K62" s="6" t="n">
        <f aca="false">COUNTIFS($A$6:$A$243,A62,$B$6:$B$243,B62)</f>
        <v>1</v>
      </c>
      <c r="L62" s="19" t="n">
        <f aca="false">IF(COUNTIF(Data_Panel!$A$6:$A$44,B62)=0,"not in panel",IF(A62=Data_Panel!$D$5,SUMIFS(Data_Panel!$D$6:$D$44,Data_Panel!$A$6:$A$44,B62),IF(A62=Data_Panel!$E$5,SUMIFS(Data_Panel!$E$6:$E$44,Data_Panel!$A$6:$A$44,B62),IF(A62=Data_Panel!$F$5,SUMIFS(Data_Panel!$F$6:$F$44,Data_Panel!$A$6:$A$44,B62),IF(A62=Data_Panel!$G$5,SUMIFS(Data_Panel!$G$6:$G$44,Data_Panel!$A$6:$A$44,B62),IF(A62=Data_Panel!$H$5,SUMIFS(Data_Panel!$H$6:$H$44,Data_Panel!$A$6:$A$44,B62),IF(A62=Data_Panel!$I$5,SUMIFS(Data_Panel!$I$6:$I$44,Data_Panel!$A$6:$A$44,B62),IF(A62=Data_Panel!$J$5,SUMIFS(Data_Panel!$J$6:$J$44,Data_Panel!$A$6:$A$44,B62),"period not in panel"))))))))</f>
        <v>162803</v>
      </c>
      <c r="M62" s="20" t="n">
        <f aca="false">IF(L62="not in panel",0,ABS(N(L62)-D62))</f>
        <v>0</v>
      </c>
    </row>
    <row r="63" customFormat="false" ht="15" hidden="false" customHeight="false" outlineLevel="0" collapsed="false">
      <c r="A63" s="6" t="s">
        <v>74</v>
      </c>
      <c r="B63" s="6" t="s">
        <v>151</v>
      </c>
      <c r="C63" s="6" t="s">
        <v>249</v>
      </c>
      <c r="D63" s="18" t="n">
        <v>2</v>
      </c>
      <c r="E63" s="6" t="s">
        <v>83</v>
      </c>
      <c r="F63" s="6" t="s">
        <v>208</v>
      </c>
      <c r="G63" s="6" t="s">
        <v>209</v>
      </c>
      <c r="H63" s="6"/>
      <c r="I63" s="6" t="s">
        <v>261</v>
      </c>
      <c r="J63" s="6" t="s">
        <v>252</v>
      </c>
      <c r="K63" s="6" t="n">
        <f aca="false">COUNTIFS($A$6:$A$243,A63,$B$6:$B$243,B63)</f>
        <v>1</v>
      </c>
      <c r="L63" s="19" t="n">
        <f aca="false">IF(COUNTIF(Data_Panel!$A$6:$A$44,B63)=0,"not in panel",IF(A63=Data_Panel!$D$5,SUMIFS(Data_Panel!$D$6:$D$44,Data_Panel!$A$6:$A$44,B63),IF(A63=Data_Panel!$E$5,SUMIFS(Data_Panel!$E$6:$E$44,Data_Panel!$A$6:$A$44,B63),IF(A63=Data_Panel!$F$5,SUMIFS(Data_Panel!$F$6:$F$44,Data_Panel!$A$6:$A$44,B63),IF(A63=Data_Panel!$G$5,SUMIFS(Data_Panel!$G$6:$G$44,Data_Panel!$A$6:$A$44,B63),IF(A63=Data_Panel!$H$5,SUMIFS(Data_Panel!$H$6:$H$44,Data_Panel!$A$6:$A$44,B63),IF(A63=Data_Panel!$I$5,SUMIFS(Data_Panel!$I$6:$I$44,Data_Panel!$A$6:$A$44,B63),IF(A63=Data_Panel!$J$5,SUMIFS(Data_Panel!$J$6:$J$44,Data_Panel!$A$6:$A$44,B63),"period not in panel"))))))))</f>
        <v>2</v>
      </c>
      <c r="M63" s="20" t="n">
        <f aca="false">IF(L63="not in panel",0,ABS(N(L63)-D63))</f>
        <v>0</v>
      </c>
    </row>
    <row r="64" customFormat="false" ht="15" hidden="false" customHeight="false" outlineLevel="0" collapsed="false">
      <c r="A64" s="6" t="s">
        <v>75</v>
      </c>
      <c r="B64" s="6" t="s">
        <v>97</v>
      </c>
      <c r="C64" s="6" t="s">
        <v>98</v>
      </c>
      <c r="D64" s="18" t="n">
        <v>17695</v>
      </c>
      <c r="E64" s="6" t="s">
        <v>83</v>
      </c>
      <c r="F64" s="6" t="s">
        <v>193</v>
      </c>
      <c r="G64" s="6" t="s">
        <v>194</v>
      </c>
      <c r="H64" s="6" t="s">
        <v>247</v>
      </c>
      <c r="I64" s="6" t="s">
        <v>262</v>
      </c>
      <c r="J64" s="6" t="s">
        <v>197</v>
      </c>
      <c r="K64" s="6" t="n">
        <f aca="false">COUNTIFS($A$6:$A$243,A64,$B$6:$B$243,B64)</f>
        <v>1</v>
      </c>
      <c r="L64" s="19" t="n">
        <f aca="false">IF(COUNTIF(Data_Panel!$A$6:$A$44,B64)=0,"not in panel",IF(A64=Data_Panel!$D$5,SUMIFS(Data_Panel!$D$6:$D$44,Data_Panel!$A$6:$A$44,B64),IF(A64=Data_Panel!$E$5,SUMIFS(Data_Panel!$E$6:$E$44,Data_Panel!$A$6:$A$44,B64),IF(A64=Data_Panel!$F$5,SUMIFS(Data_Panel!$F$6:$F$44,Data_Panel!$A$6:$A$44,B64),IF(A64=Data_Panel!$G$5,SUMIFS(Data_Panel!$G$6:$G$44,Data_Panel!$A$6:$A$44,B64),IF(A64=Data_Panel!$H$5,SUMIFS(Data_Panel!$H$6:$H$44,Data_Panel!$A$6:$A$44,B64),IF(A64=Data_Panel!$I$5,SUMIFS(Data_Panel!$I$6:$I$44,Data_Panel!$A$6:$A$44,B64),IF(A64=Data_Panel!$J$5,SUMIFS(Data_Panel!$J$6:$J$44,Data_Panel!$A$6:$A$44,B64),"period not in panel"))))))))</f>
        <v>17695</v>
      </c>
      <c r="M64" s="20" t="n">
        <f aca="false">IF(L64="not in panel",0,ABS(N(L64)-D64))</f>
        <v>0</v>
      </c>
    </row>
    <row r="65" customFormat="false" ht="15" hidden="false" customHeight="false" outlineLevel="0" collapsed="false">
      <c r="A65" s="6" t="s">
        <v>75</v>
      </c>
      <c r="B65" s="6" t="s">
        <v>100</v>
      </c>
      <c r="C65" s="6" t="s">
        <v>101</v>
      </c>
      <c r="D65" s="18" t="n">
        <v>2904</v>
      </c>
      <c r="E65" s="6" t="s">
        <v>83</v>
      </c>
      <c r="F65" s="6" t="s">
        <v>193</v>
      </c>
      <c r="G65" s="6" t="s">
        <v>194</v>
      </c>
      <c r="H65" s="6" t="s">
        <v>247</v>
      </c>
      <c r="I65" s="6" t="s">
        <v>262</v>
      </c>
      <c r="J65" s="6" t="s">
        <v>197</v>
      </c>
      <c r="K65" s="6" t="n">
        <f aca="false">COUNTIFS($A$6:$A$243,A65,$B$6:$B$243,B65)</f>
        <v>1</v>
      </c>
      <c r="L65" s="19" t="n">
        <f aca="false">IF(COUNTIF(Data_Panel!$A$6:$A$44,B65)=0,"not in panel",IF(A65=Data_Panel!$D$5,SUMIFS(Data_Panel!$D$6:$D$44,Data_Panel!$A$6:$A$44,B65),IF(A65=Data_Panel!$E$5,SUMIFS(Data_Panel!$E$6:$E$44,Data_Panel!$A$6:$A$44,B65),IF(A65=Data_Panel!$F$5,SUMIFS(Data_Panel!$F$6:$F$44,Data_Panel!$A$6:$A$44,B65),IF(A65=Data_Panel!$G$5,SUMIFS(Data_Panel!$G$6:$G$44,Data_Panel!$A$6:$A$44,B65),IF(A65=Data_Panel!$H$5,SUMIFS(Data_Panel!$H$6:$H$44,Data_Panel!$A$6:$A$44,B65),IF(A65=Data_Panel!$I$5,SUMIFS(Data_Panel!$I$6:$I$44,Data_Panel!$A$6:$A$44,B65),IF(A65=Data_Panel!$J$5,SUMIFS(Data_Panel!$J$6:$J$44,Data_Panel!$A$6:$A$44,B65),"period not in panel"))))))))</f>
        <v>2904</v>
      </c>
      <c r="M65" s="20" t="n">
        <f aca="false">IF(L65="not in panel",0,ABS(N(L65)-D65))</f>
        <v>0</v>
      </c>
    </row>
    <row r="66" customFormat="false" ht="15" hidden="false" customHeight="false" outlineLevel="0" collapsed="false">
      <c r="A66" s="6" t="s">
        <v>75</v>
      </c>
      <c r="B66" s="6" t="s">
        <v>102</v>
      </c>
      <c r="C66" s="6" t="s">
        <v>103</v>
      </c>
      <c r="D66" s="18" t="n">
        <v>4268</v>
      </c>
      <c r="E66" s="6" t="s">
        <v>83</v>
      </c>
      <c r="F66" s="6" t="s">
        <v>193</v>
      </c>
      <c r="G66" s="6" t="s">
        <v>194</v>
      </c>
      <c r="H66" s="6" t="s">
        <v>247</v>
      </c>
      <c r="I66" s="6" t="s">
        <v>262</v>
      </c>
      <c r="J66" s="6" t="s">
        <v>197</v>
      </c>
      <c r="K66" s="6" t="n">
        <f aca="false">COUNTIFS($A$6:$A$243,A66,$B$6:$B$243,B66)</f>
        <v>1</v>
      </c>
      <c r="L66" s="19" t="n">
        <f aca="false">IF(COUNTIF(Data_Panel!$A$6:$A$44,B66)=0,"not in panel",IF(A66=Data_Panel!$D$5,SUMIFS(Data_Panel!$D$6:$D$44,Data_Panel!$A$6:$A$44,B66),IF(A66=Data_Panel!$E$5,SUMIFS(Data_Panel!$E$6:$E$44,Data_Panel!$A$6:$A$44,B66),IF(A66=Data_Panel!$F$5,SUMIFS(Data_Panel!$F$6:$F$44,Data_Panel!$A$6:$A$44,B66),IF(A66=Data_Panel!$G$5,SUMIFS(Data_Panel!$G$6:$G$44,Data_Panel!$A$6:$A$44,B66),IF(A66=Data_Panel!$H$5,SUMIFS(Data_Panel!$H$6:$H$44,Data_Panel!$A$6:$A$44,B66),IF(A66=Data_Panel!$I$5,SUMIFS(Data_Panel!$I$6:$I$44,Data_Panel!$A$6:$A$44,B66),IF(A66=Data_Panel!$J$5,SUMIFS(Data_Panel!$J$6:$J$44,Data_Panel!$A$6:$A$44,B66),"period not in panel"))))))))</f>
        <v>4268</v>
      </c>
      <c r="M66" s="20" t="n">
        <f aca="false">IF(L66="not in panel",0,ABS(N(L66)-D66))</f>
        <v>0</v>
      </c>
    </row>
    <row r="67" customFormat="false" ht="15" hidden="false" customHeight="false" outlineLevel="0" collapsed="false">
      <c r="A67" s="6" t="s">
        <v>75</v>
      </c>
      <c r="B67" s="6" t="s">
        <v>104</v>
      </c>
      <c r="C67" s="6" t="s">
        <v>198</v>
      </c>
      <c r="D67" s="18" t="n">
        <v>24.1</v>
      </c>
      <c r="E67" s="6" t="s">
        <v>106</v>
      </c>
      <c r="F67" s="6" t="s">
        <v>193</v>
      </c>
      <c r="G67" s="6" t="s">
        <v>194</v>
      </c>
      <c r="H67" s="6" t="s">
        <v>247</v>
      </c>
      <c r="I67" s="6" t="s">
        <v>262</v>
      </c>
      <c r="J67" s="6" t="s">
        <v>199</v>
      </c>
      <c r="K67" s="6" t="n">
        <f aca="false">COUNTIFS($A$6:$A$243,A67,$B$6:$B$243,B67)</f>
        <v>1</v>
      </c>
      <c r="L67" s="19" t="n">
        <f aca="false">IF(COUNTIF(Data_Panel!$A$6:$A$44,B67)=0,"not in panel",IF(A67=Data_Panel!$D$5,SUMIFS(Data_Panel!$D$6:$D$44,Data_Panel!$A$6:$A$44,B67),IF(A67=Data_Panel!$E$5,SUMIFS(Data_Panel!$E$6:$E$44,Data_Panel!$A$6:$A$44,B67),IF(A67=Data_Panel!$F$5,SUMIFS(Data_Panel!$F$6:$F$44,Data_Panel!$A$6:$A$44,B67),IF(A67=Data_Panel!$G$5,SUMIFS(Data_Panel!$G$6:$G$44,Data_Panel!$A$6:$A$44,B67),IF(A67=Data_Panel!$H$5,SUMIFS(Data_Panel!$H$6:$H$44,Data_Panel!$A$6:$A$44,B67),IF(A67=Data_Panel!$I$5,SUMIFS(Data_Panel!$I$6:$I$44,Data_Panel!$A$6:$A$44,B67),IF(A67=Data_Panel!$J$5,SUMIFS(Data_Panel!$J$6:$J$44,Data_Panel!$A$6:$A$44,B67),"period not in panel"))))))))</f>
        <v>24.1</v>
      </c>
      <c r="M67" s="20" t="n">
        <f aca="false">IF(L67="not in panel",0,ABS(N(L67)-D67))</f>
        <v>0</v>
      </c>
    </row>
    <row r="68" customFormat="false" ht="15" hidden="false" customHeight="false" outlineLevel="0" collapsed="false">
      <c r="A68" s="6" t="s">
        <v>75</v>
      </c>
      <c r="B68" s="6" t="s">
        <v>108</v>
      </c>
      <c r="C68" s="6" t="s">
        <v>109</v>
      </c>
      <c r="D68" s="18" t="n">
        <v>1665</v>
      </c>
      <c r="E68" s="6" t="s">
        <v>83</v>
      </c>
      <c r="F68" s="6" t="s">
        <v>193</v>
      </c>
      <c r="G68" s="6" t="s">
        <v>194</v>
      </c>
      <c r="H68" s="6" t="s">
        <v>150</v>
      </c>
      <c r="I68" s="6" t="s">
        <v>263</v>
      </c>
      <c r="J68" s="6" t="s">
        <v>197</v>
      </c>
      <c r="K68" s="6" t="n">
        <f aca="false">COUNTIFS($A$6:$A$243,A68,$B$6:$B$243,B68)</f>
        <v>1</v>
      </c>
      <c r="L68" s="19" t="n">
        <f aca="false">IF(COUNTIF(Data_Panel!$A$6:$A$44,B68)=0,"not in panel",IF(A68=Data_Panel!$D$5,SUMIFS(Data_Panel!$D$6:$D$44,Data_Panel!$A$6:$A$44,B68),IF(A68=Data_Panel!$E$5,SUMIFS(Data_Panel!$E$6:$E$44,Data_Panel!$A$6:$A$44,B68),IF(A68=Data_Panel!$F$5,SUMIFS(Data_Panel!$F$6:$F$44,Data_Panel!$A$6:$A$44,B68),IF(A68=Data_Panel!$G$5,SUMIFS(Data_Panel!$G$6:$G$44,Data_Panel!$A$6:$A$44,B68),IF(A68=Data_Panel!$H$5,SUMIFS(Data_Panel!$H$6:$H$44,Data_Panel!$A$6:$A$44,B68),IF(A68=Data_Panel!$I$5,SUMIFS(Data_Panel!$I$6:$I$44,Data_Panel!$A$6:$A$44,B68),IF(A68=Data_Panel!$J$5,SUMIFS(Data_Panel!$J$6:$J$44,Data_Panel!$A$6:$A$44,B68),"period not in panel"))))))))</f>
        <v>1665</v>
      </c>
      <c r="M68" s="20" t="n">
        <f aca="false">IF(L68="not in panel",0,ABS(N(L68)-D68))</f>
        <v>0</v>
      </c>
    </row>
    <row r="69" customFormat="false" ht="15" hidden="false" customHeight="false" outlineLevel="0" collapsed="false">
      <c r="A69" s="6" t="s">
        <v>75</v>
      </c>
      <c r="B69" s="6" t="s">
        <v>111</v>
      </c>
      <c r="C69" s="6" t="s">
        <v>201</v>
      </c>
      <c r="D69" s="18" t="n">
        <v>1123</v>
      </c>
      <c r="E69" s="6" t="s">
        <v>83</v>
      </c>
      <c r="F69" s="6" t="s">
        <v>193</v>
      </c>
      <c r="G69" s="6" t="s">
        <v>194</v>
      </c>
      <c r="H69" s="6" t="s">
        <v>150</v>
      </c>
      <c r="I69" s="6" t="s">
        <v>263</v>
      </c>
      <c r="J69" s="6" t="s">
        <v>197</v>
      </c>
      <c r="K69" s="6" t="n">
        <f aca="false">COUNTIFS($A$6:$A$243,A69,$B$6:$B$243,B69)</f>
        <v>1</v>
      </c>
      <c r="L69" s="19" t="n">
        <f aca="false">IF(COUNTIF(Data_Panel!$A$6:$A$44,B69)=0,"not in panel",IF(A69=Data_Panel!$D$5,SUMIFS(Data_Panel!$D$6:$D$44,Data_Panel!$A$6:$A$44,B69),IF(A69=Data_Panel!$E$5,SUMIFS(Data_Panel!$E$6:$E$44,Data_Panel!$A$6:$A$44,B69),IF(A69=Data_Panel!$F$5,SUMIFS(Data_Panel!$F$6:$F$44,Data_Panel!$A$6:$A$44,B69),IF(A69=Data_Panel!$G$5,SUMIFS(Data_Panel!$G$6:$G$44,Data_Panel!$A$6:$A$44,B69),IF(A69=Data_Panel!$H$5,SUMIFS(Data_Panel!$H$6:$H$44,Data_Panel!$A$6:$A$44,B69),IF(A69=Data_Panel!$I$5,SUMIFS(Data_Panel!$I$6:$I$44,Data_Panel!$A$6:$A$44,B69),IF(A69=Data_Panel!$J$5,SUMIFS(Data_Panel!$J$6:$J$44,Data_Panel!$A$6:$A$44,B69),"period not in panel"))))))))</f>
        <v>1123</v>
      </c>
      <c r="M69" s="20" t="n">
        <f aca="false">IF(L69="not in panel",0,ABS(N(L69)-D69))</f>
        <v>0</v>
      </c>
    </row>
    <row r="70" customFormat="false" ht="15" hidden="false" customHeight="false" outlineLevel="0" collapsed="false">
      <c r="A70" s="6" t="s">
        <v>75</v>
      </c>
      <c r="B70" s="6" t="s">
        <v>113</v>
      </c>
      <c r="C70" s="6" t="s">
        <v>202</v>
      </c>
      <c r="D70" s="18" t="n">
        <v>67.5</v>
      </c>
      <c r="E70" s="6" t="s">
        <v>106</v>
      </c>
      <c r="F70" s="6" t="s">
        <v>193</v>
      </c>
      <c r="G70" s="6" t="s">
        <v>194</v>
      </c>
      <c r="H70" s="6" t="s">
        <v>150</v>
      </c>
      <c r="I70" s="6" t="s">
        <v>263</v>
      </c>
      <c r="J70" s="6" t="s">
        <v>199</v>
      </c>
      <c r="K70" s="6" t="n">
        <f aca="false">COUNTIFS($A$6:$A$243,A70,$B$6:$B$243,B70)</f>
        <v>1</v>
      </c>
      <c r="L70" s="19" t="n">
        <f aca="false">IF(COUNTIF(Data_Panel!$A$6:$A$44,B70)=0,"not in panel",IF(A70=Data_Panel!$D$5,SUMIFS(Data_Panel!$D$6:$D$44,Data_Panel!$A$6:$A$44,B70),IF(A70=Data_Panel!$E$5,SUMIFS(Data_Panel!$E$6:$E$44,Data_Panel!$A$6:$A$44,B70),IF(A70=Data_Panel!$F$5,SUMIFS(Data_Panel!$F$6:$F$44,Data_Panel!$A$6:$A$44,B70),IF(A70=Data_Panel!$G$5,SUMIFS(Data_Panel!$G$6:$G$44,Data_Panel!$A$6:$A$44,B70),IF(A70=Data_Panel!$H$5,SUMIFS(Data_Panel!$H$6:$H$44,Data_Panel!$A$6:$A$44,B70),IF(A70=Data_Panel!$I$5,SUMIFS(Data_Panel!$I$6:$I$44,Data_Panel!$A$6:$A$44,B70),IF(A70=Data_Panel!$J$5,SUMIFS(Data_Panel!$J$6:$J$44,Data_Panel!$A$6:$A$44,B70),"period not in panel"))))))))</f>
        <v>67.5</v>
      </c>
      <c r="M70" s="20" t="n">
        <f aca="false">IF(L70="not in panel",0,ABS(N(L70)-D70))</f>
        <v>0</v>
      </c>
    </row>
    <row r="71" customFormat="false" ht="15" hidden="false" customHeight="false" outlineLevel="0" collapsed="false">
      <c r="A71" s="6" t="s">
        <v>75</v>
      </c>
      <c r="B71" s="6" t="s">
        <v>116</v>
      </c>
      <c r="C71" s="6" t="s">
        <v>203</v>
      </c>
      <c r="D71" s="18" t="n">
        <v>541</v>
      </c>
      <c r="E71" s="6" t="s">
        <v>83</v>
      </c>
      <c r="F71" s="6" t="s">
        <v>193</v>
      </c>
      <c r="G71" s="6" t="s">
        <v>194</v>
      </c>
      <c r="H71" s="6" t="s">
        <v>150</v>
      </c>
      <c r="I71" s="6" t="s">
        <v>263</v>
      </c>
      <c r="J71" s="6" t="s">
        <v>197</v>
      </c>
      <c r="K71" s="6" t="n">
        <f aca="false">COUNTIFS($A$6:$A$243,A71,$B$6:$B$243,B71)</f>
        <v>1</v>
      </c>
      <c r="L71" s="19" t="n">
        <f aca="false">IF(COUNTIF(Data_Panel!$A$6:$A$44,B71)=0,"not in panel",IF(A71=Data_Panel!$D$5,SUMIFS(Data_Panel!$D$6:$D$44,Data_Panel!$A$6:$A$44,B71),IF(A71=Data_Panel!$E$5,SUMIFS(Data_Panel!$E$6:$E$44,Data_Panel!$A$6:$A$44,B71),IF(A71=Data_Panel!$F$5,SUMIFS(Data_Panel!$F$6:$F$44,Data_Panel!$A$6:$A$44,B71),IF(A71=Data_Panel!$G$5,SUMIFS(Data_Panel!$G$6:$G$44,Data_Panel!$A$6:$A$44,B71),IF(A71=Data_Panel!$H$5,SUMIFS(Data_Panel!$H$6:$H$44,Data_Panel!$A$6:$A$44,B71),IF(A71=Data_Panel!$I$5,SUMIFS(Data_Panel!$I$6:$I$44,Data_Panel!$A$6:$A$44,B71),IF(A71=Data_Panel!$J$5,SUMIFS(Data_Panel!$J$6:$J$44,Data_Panel!$A$6:$A$44,B71),"period not in panel"))))))))</f>
        <v>541</v>
      </c>
      <c r="M71" s="20" t="n">
        <f aca="false">IF(L71="not in panel",0,ABS(N(L71)-D71))</f>
        <v>0</v>
      </c>
    </row>
    <row r="72" customFormat="false" ht="15" hidden="false" customHeight="false" outlineLevel="0" collapsed="false">
      <c r="A72" s="6" t="s">
        <v>75</v>
      </c>
      <c r="B72" s="6" t="s">
        <v>119</v>
      </c>
      <c r="C72" s="6" t="s">
        <v>120</v>
      </c>
      <c r="D72" s="18" t="n">
        <v>516</v>
      </c>
      <c r="E72" s="6" t="s">
        <v>83</v>
      </c>
      <c r="F72" s="6" t="s">
        <v>193</v>
      </c>
      <c r="G72" s="6" t="s">
        <v>194</v>
      </c>
      <c r="H72" s="6" t="s">
        <v>150</v>
      </c>
      <c r="I72" s="6" t="s">
        <v>263</v>
      </c>
      <c r="J72" s="6" t="s">
        <v>197</v>
      </c>
      <c r="K72" s="6" t="n">
        <f aca="false">COUNTIFS($A$6:$A$243,A72,$B$6:$B$243,B72)</f>
        <v>1</v>
      </c>
      <c r="L72" s="19" t="n">
        <f aca="false">IF(COUNTIF(Data_Panel!$A$6:$A$44,B72)=0,"not in panel",IF(A72=Data_Panel!$D$5,SUMIFS(Data_Panel!$D$6:$D$44,Data_Panel!$A$6:$A$44,B72),IF(A72=Data_Panel!$E$5,SUMIFS(Data_Panel!$E$6:$E$44,Data_Panel!$A$6:$A$44,B72),IF(A72=Data_Panel!$F$5,SUMIFS(Data_Panel!$F$6:$F$44,Data_Panel!$A$6:$A$44,B72),IF(A72=Data_Panel!$G$5,SUMIFS(Data_Panel!$G$6:$G$44,Data_Panel!$A$6:$A$44,B72),IF(A72=Data_Panel!$H$5,SUMIFS(Data_Panel!$H$6:$H$44,Data_Panel!$A$6:$A$44,B72),IF(A72=Data_Panel!$I$5,SUMIFS(Data_Panel!$I$6:$I$44,Data_Panel!$A$6:$A$44,B72),IF(A72=Data_Panel!$J$5,SUMIFS(Data_Panel!$J$6:$J$44,Data_Panel!$A$6:$A$44,B72),"period not in panel"))))))))</f>
        <v>516</v>
      </c>
      <c r="M72" s="20" t="n">
        <f aca="false">IF(L72="not in panel",0,ABS(N(L72)-D72))</f>
        <v>0</v>
      </c>
    </row>
    <row r="73" customFormat="false" ht="15" hidden="false" customHeight="false" outlineLevel="0" collapsed="false">
      <c r="A73" s="6" t="s">
        <v>75</v>
      </c>
      <c r="B73" s="6" t="s">
        <v>121</v>
      </c>
      <c r="C73" s="6" t="s">
        <v>122</v>
      </c>
      <c r="D73" s="18" t="n">
        <v>850</v>
      </c>
      <c r="E73" s="6" t="s">
        <v>83</v>
      </c>
      <c r="F73" s="6" t="s">
        <v>193</v>
      </c>
      <c r="G73" s="6" t="s">
        <v>194</v>
      </c>
      <c r="H73" s="6" t="s">
        <v>150</v>
      </c>
      <c r="I73" s="6" t="s">
        <v>263</v>
      </c>
      <c r="J73" s="6" t="s">
        <v>197</v>
      </c>
      <c r="K73" s="6" t="n">
        <f aca="false">COUNTIFS($A$6:$A$243,A73,$B$6:$B$243,B73)</f>
        <v>1</v>
      </c>
      <c r="L73" s="19" t="n">
        <f aca="false">IF(COUNTIF(Data_Panel!$A$6:$A$44,B73)=0,"not in panel",IF(A73=Data_Panel!$D$5,SUMIFS(Data_Panel!$D$6:$D$44,Data_Panel!$A$6:$A$44,B73),IF(A73=Data_Panel!$E$5,SUMIFS(Data_Panel!$E$6:$E$44,Data_Panel!$A$6:$A$44,B73),IF(A73=Data_Panel!$F$5,SUMIFS(Data_Panel!$F$6:$F$44,Data_Panel!$A$6:$A$44,B73),IF(A73=Data_Panel!$G$5,SUMIFS(Data_Panel!$G$6:$G$44,Data_Panel!$A$6:$A$44,B73),IF(A73=Data_Panel!$H$5,SUMIFS(Data_Panel!$H$6:$H$44,Data_Panel!$A$6:$A$44,B73),IF(A73=Data_Panel!$I$5,SUMIFS(Data_Panel!$I$6:$I$44,Data_Panel!$A$6:$A$44,B73),IF(A73=Data_Panel!$J$5,SUMIFS(Data_Panel!$J$6:$J$44,Data_Panel!$A$6:$A$44,B73),"period not in panel"))))))))</f>
        <v>850</v>
      </c>
      <c r="M73" s="20" t="n">
        <f aca="false">IF(L73="not in panel",0,ABS(N(L73)-D73))</f>
        <v>0</v>
      </c>
    </row>
    <row r="74" customFormat="false" ht="15" hidden="false" customHeight="false" outlineLevel="0" collapsed="false">
      <c r="A74" s="6" t="s">
        <v>75</v>
      </c>
      <c r="B74" s="6" t="s">
        <v>123</v>
      </c>
      <c r="C74" s="6" t="s">
        <v>207</v>
      </c>
      <c r="D74" s="18" t="n">
        <v>849</v>
      </c>
      <c r="E74" s="6" t="s">
        <v>83</v>
      </c>
      <c r="F74" s="6" t="s">
        <v>193</v>
      </c>
      <c r="G74" s="6" t="s">
        <v>194</v>
      </c>
      <c r="H74" s="6" t="s">
        <v>150</v>
      </c>
      <c r="I74" s="6" t="s">
        <v>263</v>
      </c>
      <c r="J74" s="6" t="s">
        <v>197</v>
      </c>
      <c r="K74" s="6" t="n">
        <f aca="false">COUNTIFS($A$6:$A$243,A74,$B$6:$B$243,B74)</f>
        <v>1</v>
      </c>
      <c r="L74" s="19" t="n">
        <f aca="false">IF(COUNTIF(Data_Panel!$A$6:$A$44,B74)=0,"not in panel",IF(A74=Data_Panel!$D$5,SUMIFS(Data_Panel!$D$6:$D$44,Data_Panel!$A$6:$A$44,B74),IF(A74=Data_Panel!$E$5,SUMIFS(Data_Panel!$E$6:$E$44,Data_Panel!$A$6:$A$44,B74),IF(A74=Data_Panel!$F$5,SUMIFS(Data_Panel!$F$6:$F$44,Data_Panel!$A$6:$A$44,B74),IF(A74=Data_Panel!$G$5,SUMIFS(Data_Panel!$G$6:$G$44,Data_Panel!$A$6:$A$44,B74),IF(A74=Data_Panel!$H$5,SUMIFS(Data_Panel!$H$6:$H$44,Data_Panel!$A$6:$A$44,B74),IF(A74=Data_Panel!$I$5,SUMIFS(Data_Panel!$I$6:$I$44,Data_Panel!$A$6:$A$44,B74),IF(A74=Data_Panel!$J$5,SUMIFS(Data_Panel!$J$6:$J$44,Data_Panel!$A$6:$A$44,B74),"period not in panel"))))))))</f>
        <v>849</v>
      </c>
      <c r="M74" s="20" t="n">
        <f aca="false">IF(L74="not in panel",0,ABS(N(L74)-D74))</f>
        <v>0</v>
      </c>
    </row>
    <row r="75" customFormat="false" ht="15" hidden="false" customHeight="false" outlineLevel="0" collapsed="false">
      <c r="A75" s="6" t="s">
        <v>75</v>
      </c>
      <c r="B75" s="6" t="s">
        <v>126</v>
      </c>
      <c r="C75" s="6" t="s">
        <v>212</v>
      </c>
      <c r="D75" s="18" t="n">
        <v>1364</v>
      </c>
      <c r="E75" s="6" t="s">
        <v>83</v>
      </c>
      <c r="F75" s="6" t="s">
        <v>193</v>
      </c>
      <c r="G75" s="6" t="s">
        <v>194</v>
      </c>
      <c r="H75" s="6" t="s">
        <v>150</v>
      </c>
      <c r="I75" s="6" t="s">
        <v>263</v>
      </c>
      <c r="J75" s="6" t="s">
        <v>197</v>
      </c>
      <c r="K75" s="6" t="n">
        <f aca="false">COUNTIFS($A$6:$A$243,A75,$B$6:$B$243,B75)</f>
        <v>1</v>
      </c>
      <c r="L75" s="19" t="n">
        <f aca="false">IF(COUNTIF(Data_Panel!$A$6:$A$44,B75)=0,"not in panel",IF(A75=Data_Panel!$D$5,SUMIFS(Data_Panel!$D$6:$D$44,Data_Panel!$A$6:$A$44,B75),IF(A75=Data_Panel!$E$5,SUMIFS(Data_Panel!$E$6:$E$44,Data_Panel!$A$6:$A$44,B75),IF(A75=Data_Panel!$F$5,SUMIFS(Data_Panel!$F$6:$F$44,Data_Panel!$A$6:$A$44,B75),IF(A75=Data_Panel!$G$5,SUMIFS(Data_Panel!$G$6:$G$44,Data_Panel!$A$6:$A$44,B75),IF(A75=Data_Panel!$H$5,SUMIFS(Data_Panel!$H$6:$H$44,Data_Panel!$A$6:$A$44,B75),IF(A75=Data_Panel!$I$5,SUMIFS(Data_Panel!$I$6:$I$44,Data_Panel!$A$6:$A$44,B75),IF(A75=Data_Panel!$J$5,SUMIFS(Data_Panel!$J$6:$J$44,Data_Panel!$A$6:$A$44,B75),"period not in panel"))))))))</f>
        <v>1364</v>
      </c>
      <c r="M75" s="20" t="n">
        <f aca="false">IF(L75="not in panel",0,ABS(N(L75)-D75))</f>
        <v>0</v>
      </c>
    </row>
    <row r="76" customFormat="false" ht="15" hidden="false" customHeight="false" outlineLevel="0" collapsed="false">
      <c r="A76" s="6" t="s">
        <v>75</v>
      </c>
      <c r="B76" s="6" t="s">
        <v>132</v>
      </c>
      <c r="C76" s="6" t="s">
        <v>133</v>
      </c>
      <c r="D76" s="18" t="n">
        <v>1117</v>
      </c>
      <c r="E76" s="6" t="s">
        <v>83</v>
      </c>
      <c r="F76" s="6" t="s">
        <v>193</v>
      </c>
      <c r="G76" s="6" t="s">
        <v>213</v>
      </c>
      <c r="H76" s="6" t="s">
        <v>214</v>
      </c>
      <c r="I76" s="6" t="s">
        <v>264</v>
      </c>
      <c r="J76" s="6" t="s">
        <v>216</v>
      </c>
      <c r="K76" s="6" t="n">
        <f aca="false">COUNTIFS($A$6:$A$243,A76,$B$6:$B$243,B76)</f>
        <v>1</v>
      </c>
      <c r="L76" s="19" t="n">
        <f aca="false">IF(COUNTIF(Data_Panel!$A$6:$A$44,B76)=0,"not in panel",IF(A76=Data_Panel!$D$5,SUMIFS(Data_Panel!$D$6:$D$44,Data_Panel!$A$6:$A$44,B76),IF(A76=Data_Panel!$E$5,SUMIFS(Data_Panel!$E$6:$E$44,Data_Panel!$A$6:$A$44,B76),IF(A76=Data_Panel!$F$5,SUMIFS(Data_Panel!$F$6:$F$44,Data_Panel!$A$6:$A$44,B76),IF(A76=Data_Panel!$G$5,SUMIFS(Data_Panel!$G$6:$G$44,Data_Panel!$A$6:$A$44,B76),IF(A76=Data_Panel!$H$5,SUMIFS(Data_Panel!$H$6:$H$44,Data_Panel!$A$6:$A$44,B76),IF(A76=Data_Panel!$I$5,SUMIFS(Data_Panel!$I$6:$I$44,Data_Panel!$A$6:$A$44,B76),IF(A76=Data_Panel!$J$5,SUMIFS(Data_Panel!$J$6:$J$44,Data_Panel!$A$6:$A$44,B76),"period not in panel"))))))))</f>
        <v>1117</v>
      </c>
      <c r="M76" s="20" t="n">
        <f aca="false">IF(L76="not in panel",0,ABS(N(L76)-D76))</f>
        <v>0</v>
      </c>
    </row>
    <row r="77" customFormat="false" ht="15" hidden="false" customHeight="false" outlineLevel="0" collapsed="false">
      <c r="A77" s="6" t="s">
        <v>75</v>
      </c>
      <c r="B77" s="6" t="s">
        <v>128</v>
      </c>
      <c r="C77" s="6" t="s">
        <v>217</v>
      </c>
      <c r="D77" s="18" t="n">
        <v>3387.040637</v>
      </c>
      <c r="E77" s="6" t="s">
        <v>83</v>
      </c>
      <c r="F77" s="6" t="s">
        <v>193</v>
      </c>
      <c r="G77" s="6" t="s">
        <v>213</v>
      </c>
      <c r="H77" s="6" t="s">
        <v>214</v>
      </c>
      <c r="I77" s="6" t="s">
        <v>265</v>
      </c>
      <c r="J77" s="6" t="s">
        <v>216</v>
      </c>
      <c r="K77" s="6" t="n">
        <f aca="false">COUNTIFS($A$6:$A$243,A77,$B$6:$B$243,B77)</f>
        <v>1</v>
      </c>
      <c r="L77" s="19" t="n">
        <f aca="false">IF(COUNTIF(Data_Panel!$A$6:$A$44,B77)=0,"not in panel",IF(A77=Data_Panel!$D$5,SUMIFS(Data_Panel!$D$6:$D$44,Data_Panel!$A$6:$A$44,B77),IF(A77=Data_Panel!$E$5,SUMIFS(Data_Panel!$E$6:$E$44,Data_Panel!$A$6:$A$44,B77),IF(A77=Data_Panel!$F$5,SUMIFS(Data_Panel!$F$6:$F$44,Data_Panel!$A$6:$A$44,B77),IF(A77=Data_Panel!$G$5,SUMIFS(Data_Panel!$G$6:$G$44,Data_Panel!$A$6:$A$44,B77),IF(A77=Data_Panel!$H$5,SUMIFS(Data_Panel!$H$6:$H$44,Data_Panel!$A$6:$A$44,B77),IF(A77=Data_Panel!$I$5,SUMIFS(Data_Panel!$I$6:$I$44,Data_Panel!$A$6:$A$44,B77),IF(A77=Data_Panel!$J$5,SUMIFS(Data_Panel!$J$6:$J$44,Data_Panel!$A$6:$A$44,B77),"period not in panel"))))))))</f>
        <v>3387.040637</v>
      </c>
      <c r="M77" s="20" t="n">
        <f aca="false">IF(L77="not in panel",0,ABS(N(L77)-D77))</f>
        <v>0</v>
      </c>
    </row>
    <row r="78" customFormat="false" ht="15" hidden="false" customHeight="false" outlineLevel="0" collapsed="false">
      <c r="A78" s="6" t="s">
        <v>75</v>
      </c>
      <c r="B78" s="6" t="s">
        <v>130</v>
      </c>
      <c r="C78" s="6" t="s">
        <v>219</v>
      </c>
      <c r="D78" s="18" t="n">
        <v>-2270.15096</v>
      </c>
      <c r="E78" s="6" t="s">
        <v>83</v>
      </c>
      <c r="F78" s="6" t="s">
        <v>193</v>
      </c>
      <c r="G78" s="6" t="s">
        <v>213</v>
      </c>
      <c r="H78" s="6" t="s">
        <v>214</v>
      </c>
      <c r="I78" s="6" t="s">
        <v>266</v>
      </c>
      <c r="J78" s="6" t="s">
        <v>216</v>
      </c>
      <c r="K78" s="6" t="n">
        <f aca="false">COUNTIFS($A$6:$A$243,A78,$B$6:$B$243,B78)</f>
        <v>1</v>
      </c>
      <c r="L78" s="19" t="n">
        <f aca="false">IF(COUNTIF(Data_Panel!$A$6:$A$44,B78)=0,"not in panel",IF(A78=Data_Panel!$D$5,SUMIFS(Data_Panel!$D$6:$D$44,Data_Panel!$A$6:$A$44,B78),IF(A78=Data_Panel!$E$5,SUMIFS(Data_Panel!$E$6:$E$44,Data_Panel!$A$6:$A$44,B78),IF(A78=Data_Panel!$F$5,SUMIFS(Data_Panel!$F$6:$F$44,Data_Panel!$A$6:$A$44,B78),IF(A78=Data_Panel!$G$5,SUMIFS(Data_Panel!$G$6:$G$44,Data_Panel!$A$6:$A$44,B78),IF(A78=Data_Panel!$H$5,SUMIFS(Data_Panel!$H$6:$H$44,Data_Panel!$A$6:$A$44,B78),IF(A78=Data_Panel!$I$5,SUMIFS(Data_Panel!$I$6:$I$44,Data_Panel!$A$6:$A$44,B78),IF(A78=Data_Panel!$J$5,SUMIFS(Data_Panel!$J$6:$J$44,Data_Panel!$A$6:$A$44,B78),"period not in panel"))))))))</f>
        <v>-2270.15096</v>
      </c>
      <c r="M78" s="20" t="n">
        <f aca="false">IF(L78="not in panel",0,ABS(N(L78)-D78))</f>
        <v>0</v>
      </c>
    </row>
    <row r="79" customFormat="false" ht="15" hidden="false" customHeight="false" outlineLevel="0" collapsed="false">
      <c r="A79" s="6" t="s">
        <v>75</v>
      </c>
      <c r="B79" s="6" t="s">
        <v>134</v>
      </c>
      <c r="C79" s="6" t="s">
        <v>221</v>
      </c>
      <c r="D79" s="18" t="n">
        <v>6100.788136</v>
      </c>
      <c r="E79" s="6" t="s">
        <v>83</v>
      </c>
      <c r="F79" s="6" t="s">
        <v>193</v>
      </c>
      <c r="G79" s="6" t="s">
        <v>213</v>
      </c>
      <c r="H79" s="6" t="s">
        <v>214</v>
      </c>
      <c r="I79" s="6" t="s">
        <v>267</v>
      </c>
      <c r="J79" s="6" t="s">
        <v>216</v>
      </c>
      <c r="K79" s="6" t="n">
        <f aca="false">COUNTIFS($A$6:$A$243,A79,$B$6:$B$243,B79)</f>
        <v>1</v>
      </c>
      <c r="L79" s="19" t="n">
        <f aca="false">IF(COUNTIF(Data_Panel!$A$6:$A$44,B79)=0,"not in panel",IF(A79=Data_Panel!$D$5,SUMIFS(Data_Panel!$D$6:$D$44,Data_Panel!$A$6:$A$44,B79),IF(A79=Data_Panel!$E$5,SUMIFS(Data_Panel!$E$6:$E$44,Data_Panel!$A$6:$A$44,B79),IF(A79=Data_Panel!$F$5,SUMIFS(Data_Panel!$F$6:$F$44,Data_Panel!$A$6:$A$44,B79),IF(A79=Data_Panel!$G$5,SUMIFS(Data_Panel!$G$6:$G$44,Data_Panel!$A$6:$A$44,B79),IF(A79=Data_Panel!$H$5,SUMIFS(Data_Panel!$H$6:$H$44,Data_Panel!$A$6:$A$44,B79),IF(A79=Data_Panel!$I$5,SUMIFS(Data_Panel!$I$6:$I$44,Data_Panel!$A$6:$A$44,B79),IF(A79=Data_Panel!$J$5,SUMIFS(Data_Panel!$J$6:$J$44,Data_Panel!$A$6:$A$44,B79),"period not in panel"))))))))</f>
        <v>6100.788136</v>
      </c>
      <c r="M79" s="20" t="n">
        <f aca="false">IF(L79="not in panel",0,ABS(N(L79)-D79))</f>
        <v>0</v>
      </c>
    </row>
    <row r="80" customFormat="false" ht="15" hidden="false" customHeight="false" outlineLevel="0" collapsed="false">
      <c r="A80" s="6" t="s">
        <v>75</v>
      </c>
      <c r="B80" s="6" t="s">
        <v>153</v>
      </c>
      <c r="C80" s="6" t="s">
        <v>268</v>
      </c>
      <c r="D80" s="18" t="n">
        <v>-460</v>
      </c>
      <c r="E80" s="6" t="s">
        <v>83</v>
      </c>
      <c r="F80" s="6" t="s">
        <v>193</v>
      </c>
      <c r="G80" s="6" t="s">
        <v>194</v>
      </c>
      <c r="H80" s="6" t="s">
        <v>204</v>
      </c>
      <c r="I80" s="6" t="s">
        <v>269</v>
      </c>
      <c r="J80" s="6" t="s">
        <v>270</v>
      </c>
      <c r="K80" s="6" t="n">
        <f aca="false">COUNTIFS($A$6:$A$243,A80,$B$6:$B$243,B80)</f>
        <v>1</v>
      </c>
      <c r="L80" s="19" t="n">
        <f aca="false">IF(COUNTIF(Data_Panel!$A$6:$A$44,B80)=0,"not in panel",IF(A80=Data_Panel!$D$5,SUMIFS(Data_Panel!$D$6:$D$44,Data_Panel!$A$6:$A$44,B80),IF(A80=Data_Panel!$E$5,SUMIFS(Data_Panel!$E$6:$E$44,Data_Panel!$A$6:$A$44,B80),IF(A80=Data_Panel!$F$5,SUMIFS(Data_Panel!$F$6:$F$44,Data_Panel!$A$6:$A$44,B80),IF(A80=Data_Panel!$G$5,SUMIFS(Data_Panel!$G$6:$G$44,Data_Panel!$A$6:$A$44,B80),IF(A80=Data_Panel!$H$5,SUMIFS(Data_Panel!$H$6:$H$44,Data_Panel!$A$6:$A$44,B80),IF(A80=Data_Panel!$I$5,SUMIFS(Data_Panel!$I$6:$I$44,Data_Panel!$A$6:$A$44,B80),IF(A80=Data_Panel!$J$5,SUMIFS(Data_Panel!$J$6:$J$44,Data_Panel!$A$6:$A$44,B80),"period not in panel"))))))))</f>
        <v>-460</v>
      </c>
      <c r="M80" s="20" t="n">
        <f aca="false">IF(L80="not in panel",0,ABS(N(L80)-D80))</f>
        <v>0</v>
      </c>
    </row>
    <row r="81" customFormat="false" ht="15" hidden="false" customHeight="false" outlineLevel="0" collapsed="false">
      <c r="A81" s="6" t="s">
        <v>75</v>
      </c>
      <c r="B81" s="6" t="s">
        <v>156</v>
      </c>
      <c r="C81" s="6" t="s">
        <v>271</v>
      </c>
      <c r="D81" s="18" t="n">
        <v>-240</v>
      </c>
      <c r="E81" s="6" t="s">
        <v>83</v>
      </c>
      <c r="F81" s="6" t="s">
        <v>193</v>
      </c>
      <c r="G81" s="6" t="s">
        <v>194</v>
      </c>
      <c r="H81" s="6" t="s">
        <v>204</v>
      </c>
      <c r="I81" s="6" t="s">
        <v>269</v>
      </c>
      <c r="J81" s="6" t="s">
        <v>270</v>
      </c>
      <c r="K81" s="6" t="n">
        <f aca="false">COUNTIFS($A$6:$A$243,A81,$B$6:$B$243,B81)</f>
        <v>1</v>
      </c>
      <c r="L81" s="19" t="n">
        <f aca="false">IF(COUNTIF(Data_Panel!$A$6:$A$44,B81)=0,"not in panel",IF(A81=Data_Panel!$D$5,SUMIFS(Data_Panel!$D$6:$D$44,Data_Panel!$A$6:$A$44,B81),IF(A81=Data_Panel!$E$5,SUMIFS(Data_Panel!$E$6:$E$44,Data_Panel!$A$6:$A$44,B81),IF(A81=Data_Panel!$F$5,SUMIFS(Data_Panel!$F$6:$F$44,Data_Panel!$A$6:$A$44,B81),IF(A81=Data_Panel!$G$5,SUMIFS(Data_Panel!$G$6:$G$44,Data_Panel!$A$6:$A$44,B81),IF(A81=Data_Panel!$H$5,SUMIFS(Data_Panel!$H$6:$H$44,Data_Panel!$A$6:$A$44,B81),IF(A81=Data_Panel!$I$5,SUMIFS(Data_Panel!$I$6:$I$44,Data_Panel!$A$6:$A$44,B81),IF(A81=Data_Panel!$J$5,SUMIFS(Data_Panel!$J$6:$J$44,Data_Panel!$A$6:$A$44,B81),"period not in panel"))))))))</f>
        <v>-240</v>
      </c>
      <c r="M81" s="20" t="n">
        <f aca="false">IF(L81="not in panel",0,ABS(N(L81)-D81))</f>
        <v>0</v>
      </c>
    </row>
    <row r="82" customFormat="false" ht="15" hidden="false" customHeight="false" outlineLevel="0" collapsed="false">
      <c r="A82" s="6" t="s">
        <v>75</v>
      </c>
      <c r="B82" s="6" t="s">
        <v>158</v>
      </c>
      <c r="C82" s="6" t="s">
        <v>272</v>
      </c>
      <c r="D82" s="18" t="n">
        <v>-160</v>
      </c>
      <c r="E82" s="6" t="s">
        <v>83</v>
      </c>
      <c r="F82" s="6" t="s">
        <v>193</v>
      </c>
      <c r="G82" s="6" t="s">
        <v>194</v>
      </c>
      <c r="H82" s="6" t="s">
        <v>204</v>
      </c>
      <c r="I82" s="6" t="s">
        <v>269</v>
      </c>
      <c r="J82" s="6" t="s">
        <v>270</v>
      </c>
      <c r="K82" s="6" t="n">
        <f aca="false">COUNTIFS($A$6:$A$243,A82,$B$6:$B$243,B82)</f>
        <v>1</v>
      </c>
      <c r="L82" s="19" t="n">
        <f aca="false">IF(COUNTIF(Data_Panel!$A$6:$A$44,B82)=0,"not in panel",IF(A82=Data_Panel!$D$5,SUMIFS(Data_Panel!$D$6:$D$44,Data_Panel!$A$6:$A$44,B82),IF(A82=Data_Panel!$E$5,SUMIFS(Data_Panel!$E$6:$E$44,Data_Panel!$A$6:$A$44,B82),IF(A82=Data_Panel!$F$5,SUMIFS(Data_Panel!$F$6:$F$44,Data_Panel!$A$6:$A$44,B82),IF(A82=Data_Panel!$G$5,SUMIFS(Data_Panel!$G$6:$G$44,Data_Panel!$A$6:$A$44,B82),IF(A82=Data_Panel!$H$5,SUMIFS(Data_Panel!$H$6:$H$44,Data_Panel!$A$6:$A$44,B82),IF(A82=Data_Panel!$I$5,SUMIFS(Data_Panel!$I$6:$I$44,Data_Panel!$A$6:$A$44,B82),IF(A82=Data_Panel!$J$5,SUMIFS(Data_Panel!$J$6:$J$44,Data_Panel!$A$6:$A$44,B82),"period not in panel"))))))))</f>
        <v>-160</v>
      </c>
      <c r="M82" s="20" t="n">
        <f aca="false">IF(L82="not in panel",0,ABS(N(L82)-D82))</f>
        <v>0</v>
      </c>
    </row>
    <row r="83" customFormat="false" ht="15" hidden="false" customHeight="false" outlineLevel="0" collapsed="false">
      <c r="A83" s="6" t="s">
        <v>75</v>
      </c>
      <c r="B83" s="6" t="s">
        <v>160</v>
      </c>
      <c r="C83" s="6" t="s">
        <v>273</v>
      </c>
      <c r="D83" s="18" t="n">
        <v>80</v>
      </c>
      <c r="E83" s="6" t="s">
        <v>83</v>
      </c>
      <c r="F83" s="6" t="s">
        <v>193</v>
      </c>
      <c r="G83" s="6" t="s">
        <v>194</v>
      </c>
      <c r="H83" s="6" t="s">
        <v>204</v>
      </c>
      <c r="I83" s="6" t="s">
        <v>269</v>
      </c>
      <c r="J83" s="6" t="s">
        <v>270</v>
      </c>
      <c r="K83" s="6" t="n">
        <f aca="false">COUNTIFS($A$6:$A$243,A83,$B$6:$B$243,B83)</f>
        <v>1</v>
      </c>
      <c r="L83" s="19" t="n">
        <f aca="false">IF(COUNTIF(Data_Panel!$A$6:$A$44,B83)=0,"not in panel",IF(A83=Data_Panel!$D$5,SUMIFS(Data_Panel!$D$6:$D$44,Data_Panel!$A$6:$A$44,B83),IF(A83=Data_Panel!$E$5,SUMIFS(Data_Panel!$E$6:$E$44,Data_Panel!$A$6:$A$44,B83),IF(A83=Data_Panel!$F$5,SUMIFS(Data_Panel!$F$6:$F$44,Data_Panel!$A$6:$A$44,B83),IF(A83=Data_Panel!$G$5,SUMIFS(Data_Panel!$G$6:$G$44,Data_Panel!$A$6:$A$44,B83),IF(A83=Data_Panel!$H$5,SUMIFS(Data_Panel!$H$6:$H$44,Data_Panel!$A$6:$A$44,B83),IF(A83=Data_Panel!$I$5,SUMIFS(Data_Panel!$I$6:$I$44,Data_Panel!$A$6:$A$44,B83),IF(A83=Data_Panel!$J$5,SUMIFS(Data_Panel!$J$6:$J$44,Data_Panel!$A$6:$A$44,B83),"period not in panel"))))))))</f>
        <v>80</v>
      </c>
      <c r="M83" s="20" t="n">
        <f aca="false">IF(L83="not in panel",0,ABS(N(L83)-D83))</f>
        <v>0</v>
      </c>
    </row>
    <row r="84" customFormat="false" ht="15" hidden="false" customHeight="false" outlineLevel="0" collapsed="false">
      <c r="A84" s="6" t="s">
        <v>75</v>
      </c>
      <c r="B84" s="6" t="s">
        <v>136</v>
      </c>
      <c r="C84" s="6" t="s">
        <v>137</v>
      </c>
      <c r="D84" s="18" t="n">
        <v>1894</v>
      </c>
      <c r="E84" s="6" t="s">
        <v>83</v>
      </c>
      <c r="F84" s="6" t="s">
        <v>193</v>
      </c>
      <c r="G84" s="6" t="s">
        <v>194</v>
      </c>
      <c r="H84" s="6" t="s">
        <v>247</v>
      </c>
      <c r="I84" s="6" t="s">
        <v>223</v>
      </c>
      <c r="J84" s="6" t="s">
        <v>197</v>
      </c>
      <c r="K84" s="6" t="n">
        <f aca="false">COUNTIFS($A$6:$A$243,A84,$B$6:$B$243,B84)</f>
        <v>1</v>
      </c>
      <c r="L84" s="19" t="n">
        <f aca="false">IF(COUNTIF(Data_Panel!$A$6:$A$44,B84)=0,"not in panel",IF(A84=Data_Panel!$D$5,SUMIFS(Data_Panel!$D$6:$D$44,Data_Panel!$A$6:$A$44,B84),IF(A84=Data_Panel!$E$5,SUMIFS(Data_Panel!$E$6:$E$44,Data_Panel!$A$6:$A$44,B84),IF(A84=Data_Panel!$F$5,SUMIFS(Data_Panel!$F$6:$F$44,Data_Panel!$A$6:$A$44,B84),IF(A84=Data_Panel!$G$5,SUMIFS(Data_Panel!$G$6:$G$44,Data_Panel!$A$6:$A$44,B84),IF(A84=Data_Panel!$H$5,SUMIFS(Data_Panel!$H$6:$H$44,Data_Panel!$A$6:$A$44,B84),IF(A84=Data_Panel!$I$5,SUMIFS(Data_Panel!$I$6:$I$44,Data_Panel!$A$6:$A$44,B84),IF(A84=Data_Panel!$J$5,SUMIFS(Data_Panel!$J$6:$J$44,Data_Panel!$A$6:$A$44,B84),"period not in panel"))))))))</f>
        <v>1894</v>
      </c>
      <c r="M84" s="20" t="n">
        <f aca="false">IF(L84="not in panel",0,ABS(N(L84)-D84))</f>
        <v>0</v>
      </c>
    </row>
    <row r="85" customFormat="false" ht="15" hidden="false" customHeight="false" outlineLevel="0" collapsed="false">
      <c r="A85" s="6" t="s">
        <v>75</v>
      </c>
      <c r="B85" s="6" t="s">
        <v>138</v>
      </c>
      <c r="C85" s="6" t="s">
        <v>139</v>
      </c>
      <c r="D85" s="18" t="n">
        <v>129</v>
      </c>
      <c r="E85" s="6" t="s">
        <v>83</v>
      </c>
      <c r="F85" s="6" t="s">
        <v>193</v>
      </c>
      <c r="G85" s="6" t="s">
        <v>194</v>
      </c>
      <c r="H85" s="6" t="s">
        <v>247</v>
      </c>
      <c r="I85" s="6" t="s">
        <v>223</v>
      </c>
      <c r="J85" s="6" t="s">
        <v>197</v>
      </c>
      <c r="K85" s="6" t="n">
        <f aca="false">COUNTIFS($A$6:$A$243,A85,$B$6:$B$243,B85)</f>
        <v>1</v>
      </c>
      <c r="L85" s="19" t="n">
        <f aca="false">IF(COUNTIF(Data_Panel!$A$6:$A$44,B85)=0,"not in panel",IF(A85=Data_Panel!$D$5,SUMIFS(Data_Panel!$D$6:$D$44,Data_Panel!$A$6:$A$44,B85),IF(A85=Data_Panel!$E$5,SUMIFS(Data_Panel!$E$6:$E$44,Data_Panel!$A$6:$A$44,B85),IF(A85=Data_Panel!$F$5,SUMIFS(Data_Panel!$F$6:$F$44,Data_Panel!$A$6:$A$44,B85),IF(A85=Data_Panel!$G$5,SUMIFS(Data_Panel!$G$6:$G$44,Data_Panel!$A$6:$A$44,B85),IF(A85=Data_Panel!$H$5,SUMIFS(Data_Panel!$H$6:$H$44,Data_Panel!$A$6:$A$44,B85),IF(A85=Data_Panel!$I$5,SUMIFS(Data_Panel!$I$6:$I$44,Data_Panel!$A$6:$A$44,B85),IF(A85=Data_Panel!$J$5,SUMIFS(Data_Panel!$J$6:$J$44,Data_Panel!$A$6:$A$44,B85),"period not in panel"))))))))</f>
        <v>129</v>
      </c>
      <c r="M85" s="20" t="n">
        <f aca="false">IF(L85="not in panel",0,ABS(N(L85)-D85))</f>
        <v>0</v>
      </c>
    </row>
    <row r="86" customFormat="false" ht="15" hidden="false" customHeight="false" outlineLevel="0" collapsed="false">
      <c r="A86" s="6" t="s">
        <v>75</v>
      </c>
      <c r="B86" s="6" t="s">
        <v>81</v>
      </c>
      <c r="C86" s="6" t="s">
        <v>82</v>
      </c>
      <c r="D86" s="18" t="n">
        <v>19457.008656</v>
      </c>
      <c r="E86" s="6" t="s">
        <v>83</v>
      </c>
      <c r="F86" s="6" t="s">
        <v>193</v>
      </c>
      <c r="G86" s="6" t="s">
        <v>213</v>
      </c>
      <c r="H86" s="6" t="s">
        <v>214</v>
      </c>
      <c r="I86" s="6" t="s">
        <v>274</v>
      </c>
      <c r="J86" s="6" t="s">
        <v>216</v>
      </c>
      <c r="K86" s="6" t="n">
        <f aca="false">COUNTIFS($A$6:$A$243,A86,$B$6:$B$243,B86)</f>
        <v>1</v>
      </c>
      <c r="L86" s="19" t="n">
        <f aca="false">IF(COUNTIF(Data_Panel!$A$6:$A$44,B86)=0,"not in panel",IF(A86=Data_Panel!$D$5,SUMIFS(Data_Panel!$D$6:$D$44,Data_Panel!$A$6:$A$44,B86),IF(A86=Data_Panel!$E$5,SUMIFS(Data_Panel!$E$6:$E$44,Data_Panel!$A$6:$A$44,B86),IF(A86=Data_Panel!$F$5,SUMIFS(Data_Panel!$F$6:$F$44,Data_Panel!$A$6:$A$44,B86),IF(A86=Data_Panel!$G$5,SUMIFS(Data_Panel!$G$6:$G$44,Data_Panel!$A$6:$A$44,B86),IF(A86=Data_Panel!$H$5,SUMIFS(Data_Panel!$H$6:$H$44,Data_Panel!$A$6:$A$44,B86),IF(A86=Data_Panel!$I$5,SUMIFS(Data_Panel!$I$6:$I$44,Data_Panel!$A$6:$A$44,B86),IF(A86=Data_Panel!$J$5,SUMIFS(Data_Panel!$J$6:$J$44,Data_Panel!$A$6:$A$44,B86),"period not in panel"))))))))</f>
        <v>19457.008656</v>
      </c>
      <c r="M86" s="20" t="n">
        <f aca="false">IF(L86="not in panel",0,ABS(N(L86)-D86))</f>
        <v>0</v>
      </c>
    </row>
    <row r="87" customFormat="false" ht="15" hidden="false" customHeight="false" outlineLevel="0" collapsed="false">
      <c r="A87" s="6" t="s">
        <v>75</v>
      </c>
      <c r="B87" s="6" t="s">
        <v>85</v>
      </c>
      <c r="C87" s="6" t="s">
        <v>86</v>
      </c>
      <c r="D87" s="18" t="n">
        <v>-14251.02907</v>
      </c>
      <c r="E87" s="6" t="s">
        <v>83</v>
      </c>
      <c r="F87" s="6" t="s">
        <v>193</v>
      </c>
      <c r="G87" s="6" t="s">
        <v>213</v>
      </c>
      <c r="H87" s="6" t="s">
        <v>214</v>
      </c>
      <c r="I87" s="6" t="s">
        <v>275</v>
      </c>
      <c r="J87" s="6" t="s">
        <v>216</v>
      </c>
      <c r="K87" s="6" t="n">
        <f aca="false">COUNTIFS($A$6:$A$243,A87,$B$6:$B$243,B87)</f>
        <v>1</v>
      </c>
      <c r="L87" s="19" t="n">
        <f aca="false">IF(COUNTIF(Data_Panel!$A$6:$A$44,B87)=0,"not in panel",IF(A87=Data_Panel!$D$5,SUMIFS(Data_Panel!$D$6:$D$44,Data_Panel!$A$6:$A$44,B87),IF(A87=Data_Panel!$E$5,SUMIFS(Data_Panel!$E$6:$E$44,Data_Panel!$A$6:$A$44,B87),IF(A87=Data_Panel!$F$5,SUMIFS(Data_Panel!$F$6:$F$44,Data_Panel!$A$6:$A$44,B87),IF(A87=Data_Panel!$G$5,SUMIFS(Data_Panel!$G$6:$G$44,Data_Panel!$A$6:$A$44,B87),IF(A87=Data_Panel!$H$5,SUMIFS(Data_Panel!$H$6:$H$44,Data_Panel!$A$6:$A$44,B87),IF(A87=Data_Panel!$I$5,SUMIFS(Data_Panel!$I$6:$I$44,Data_Panel!$A$6:$A$44,B87),IF(A87=Data_Panel!$J$5,SUMIFS(Data_Panel!$J$6:$J$44,Data_Panel!$A$6:$A$44,B87),"period not in panel"))))))))</f>
        <v>-14251.02907</v>
      </c>
      <c r="M87" s="20" t="n">
        <f aca="false">IF(L87="not in panel",0,ABS(N(L87)-D87))</f>
        <v>0</v>
      </c>
    </row>
    <row r="88" customFormat="false" ht="15" hidden="false" customHeight="false" outlineLevel="0" collapsed="false">
      <c r="A88" s="6" t="s">
        <v>75</v>
      </c>
      <c r="B88" s="6" t="s">
        <v>87</v>
      </c>
      <c r="C88" s="6" t="s">
        <v>88</v>
      </c>
      <c r="D88" s="18" t="n">
        <v>5205.979586</v>
      </c>
      <c r="E88" s="6" t="s">
        <v>83</v>
      </c>
      <c r="F88" s="6" t="s">
        <v>193</v>
      </c>
      <c r="G88" s="6" t="s">
        <v>213</v>
      </c>
      <c r="H88" s="6" t="s">
        <v>214</v>
      </c>
      <c r="I88" s="6" t="s">
        <v>276</v>
      </c>
      <c r="J88" s="6" t="s">
        <v>216</v>
      </c>
      <c r="K88" s="6" t="n">
        <f aca="false">COUNTIFS($A$6:$A$243,A88,$B$6:$B$243,B88)</f>
        <v>1</v>
      </c>
      <c r="L88" s="19" t="n">
        <f aca="false">IF(COUNTIF(Data_Panel!$A$6:$A$44,B88)=0,"not in panel",IF(A88=Data_Panel!$D$5,SUMIFS(Data_Panel!$D$6:$D$44,Data_Panel!$A$6:$A$44,B88),IF(A88=Data_Panel!$E$5,SUMIFS(Data_Panel!$E$6:$E$44,Data_Panel!$A$6:$A$44,B88),IF(A88=Data_Panel!$F$5,SUMIFS(Data_Panel!$F$6:$F$44,Data_Panel!$A$6:$A$44,B88),IF(A88=Data_Panel!$G$5,SUMIFS(Data_Panel!$G$6:$G$44,Data_Panel!$A$6:$A$44,B88),IF(A88=Data_Panel!$H$5,SUMIFS(Data_Panel!$H$6:$H$44,Data_Panel!$A$6:$A$44,B88),IF(A88=Data_Panel!$I$5,SUMIFS(Data_Panel!$I$6:$I$44,Data_Panel!$A$6:$A$44,B88),IF(A88=Data_Panel!$J$5,SUMIFS(Data_Panel!$J$6:$J$44,Data_Panel!$A$6:$A$44,B88),"period not in panel"))))))))</f>
        <v>5205.979586</v>
      </c>
      <c r="M88" s="20" t="n">
        <f aca="false">IF(L88="not in panel",0,ABS(N(L88)-D88))</f>
        <v>0</v>
      </c>
    </row>
    <row r="89" customFormat="false" ht="15" hidden="false" customHeight="false" outlineLevel="0" collapsed="false">
      <c r="A89" s="6" t="s">
        <v>75</v>
      </c>
      <c r="B89" s="6" t="s">
        <v>89</v>
      </c>
      <c r="C89" s="6" t="s">
        <v>90</v>
      </c>
      <c r="D89" s="18" t="n">
        <v>-1379.265887</v>
      </c>
      <c r="E89" s="6" t="s">
        <v>83</v>
      </c>
      <c r="F89" s="6" t="s">
        <v>193</v>
      </c>
      <c r="G89" s="6" t="s">
        <v>213</v>
      </c>
      <c r="H89" s="6" t="s">
        <v>214</v>
      </c>
      <c r="I89" s="6" t="s">
        <v>277</v>
      </c>
      <c r="J89" s="6" t="s">
        <v>216</v>
      </c>
      <c r="K89" s="6" t="n">
        <f aca="false">COUNTIFS($A$6:$A$243,A89,$B$6:$B$243,B89)</f>
        <v>1</v>
      </c>
      <c r="L89" s="19" t="n">
        <f aca="false">IF(COUNTIF(Data_Panel!$A$6:$A$44,B89)=0,"not in panel",IF(A89=Data_Panel!$D$5,SUMIFS(Data_Panel!$D$6:$D$44,Data_Panel!$A$6:$A$44,B89),IF(A89=Data_Panel!$E$5,SUMIFS(Data_Panel!$E$6:$E$44,Data_Panel!$A$6:$A$44,B89),IF(A89=Data_Panel!$F$5,SUMIFS(Data_Panel!$F$6:$F$44,Data_Panel!$A$6:$A$44,B89),IF(A89=Data_Panel!$G$5,SUMIFS(Data_Panel!$G$6:$G$44,Data_Panel!$A$6:$A$44,B89),IF(A89=Data_Panel!$H$5,SUMIFS(Data_Panel!$H$6:$H$44,Data_Panel!$A$6:$A$44,B89),IF(A89=Data_Panel!$I$5,SUMIFS(Data_Panel!$I$6:$I$44,Data_Panel!$A$6:$A$44,B89),IF(A89=Data_Panel!$J$5,SUMIFS(Data_Panel!$J$6:$J$44,Data_Panel!$A$6:$A$44,B89),"period not in panel"))))))))</f>
        <v>-1379.265887</v>
      </c>
      <c r="M89" s="20" t="n">
        <f aca="false">IF(L89="not in panel",0,ABS(N(L89)-D89))</f>
        <v>0</v>
      </c>
    </row>
    <row r="90" customFormat="false" ht="15" hidden="false" customHeight="false" outlineLevel="0" collapsed="false">
      <c r="A90" s="6" t="s">
        <v>75</v>
      </c>
      <c r="B90" s="6" t="s">
        <v>91</v>
      </c>
      <c r="C90" s="6" t="s">
        <v>92</v>
      </c>
      <c r="D90" s="18" t="n">
        <v>-951.828897</v>
      </c>
      <c r="E90" s="6" t="s">
        <v>83</v>
      </c>
      <c r="F90" s="6" t="s">
        <v>193</v>
      </c>
      <c r="G90" s="6" t="s">
        <v>213</v>
      </c>
      <c r="H90" s="6" t="s">
        <v>214</v>
      </c>
      <c r="I90" s="6" t="s">
        <v>278</v>
      </c>
      <c r="J90" s="6" t="s">
        <v>216</v>
      </c>
      <c r="K90" s="6" t="n">
        <f aca="false">COUNTIFS($A$6:$A$243,A90,$B$6:$B$243,B90)</f>
        <v>1</v>
      </c>
      <c r="L90" s="19" t="n">
        <f aca="false">IF(COUNTIF(Data_Panel!$A$6:$A$44,B90)=0,"not in panel",IF(A90=Data_Panel!$D$5,SUMIFS(Data_Panel!$D$6:$D$44,Data_Panel!$A$6:$A$44,B90),IF(A90=Data_Panel!$E$5,SUMIFS(Data_Panel!$E$6:$E$44,Data_Panel!$A$6:$A$44,B90),IF(A90=Data_Panel!$F$5,SUMIFS(Data_Panel!$F$6:$F$44,Data_Panel!$A$6:$A$44,B90),IF(A90=Data_Panel!$G$5,SUMIFS(Data_Panel!$G$6:$G$44,Data_Panel!$A$6:$A$44,B90),IF(A90=Data_Panel!$H$5,SUMIFS(Data_Panel!$H$6:$H$44,Data_Panel!$A$6:$A$44,B90),IF(A90=Data_Panel!$I$5,SUMIFS(Data_Panel!$I$6:$I$44,Data_Panel!$A$6:$A$44,B90),IF(A90=Data_Panel!$J$5,SUMIFS(Data_Panel!$J$6:$J$44,Data_Panel!$A$6:$A$44,B90),"period not in panel"))))))))</f>
        <v>-951.828897</v>
      </c>
      <c r="M90" s="20" t="n">
        <f aca="false">IF(L90="not in panel",0,ABS(N(L90)-D90))</f>
        <v>0</v>
      </c>
    </row>
    <row r="91" customFormat="false" ht="15" hidden="false" customHeight="false" outlineLevel="0" collapsed="false">
      <c r="A91" s="6" t="s">
        <v>75</v>
      </c>
      <c r="B91" s="6" t="s">
        <v>93</v>
      </c>
      <c r="C91" s="6" t="s">
        <v>94</v>
      </c>
      <c r="D91" s="18" t="n">
        <v>186.57065</v>
      </c>
      <c r="E91" s="6" t="s">
        <v>83</v>
      </c>
      <c r="F91" s="6" t="s">
        <v>193</v>
      </c>
      <c r="G91" s="6" t="s">
        <v>213</v>
      </c>
      <c r="H91" s="6" t="s">
        <v>214</v>
      </c>
      <c r="I91" s="6" t="s">
        <v>279</v>
      </c>
      <c r="J91" s="6" t="s">
        <v>216</v>
      </c>
      <c r="K91" s="6" t="n">
        <f aca="false">COUNTIFS($A$6:$A$243,A91,$B$6:$B$243,B91)</f>
        <v>1</v>
      </c>
      <c r="L91" s="19" t="n">
        <f aca="false">IF(COUNTIF(Data_Panel!$A$6:$A$44,B91)=0,"not in panel",IF(A91=Data_Panel!$D$5,SUMIFS(Data_Panel!$D$6:$D$44,Data_Panel!$A$6:$A$44,B91),IF(A91=Data_Panel!$E$5,SUMIFS(Data_Panel!$E$6:$E$44,Data_Panel!$A$6:$A$44,B91),IF(A91=Data_Panel!$F$5,SUMIFS(Data_Panel!$F$6:$F$44,Data_Panel!$A$6:$A$44,B91),IF(A91=Data_Panel!$G$5,SUMIFS(Data_Panel!$G$6:$G$44,Data_Panel!$A$6:$A$44,B91),IF(A91=Data_Panel!$H$5,SUMIFS(Data_Panel!$H$6:$H$44,Data_Panel!$A$6:$A$44,B91),IF(A91=Data_Panel!$I$5,SUMIFS(Data_Panel!$I$6:$I$44,Data_Panel!$A$6:$A$44,B91),IF(A91=Data_Panel!$J$5,SUMIFS(Data_Panel!$J$6:$J$44,Data_Panel!$A$6:$A$44,B91),"period not in panel"))))))))</f>
        <v>186.57065</v>
      </c>
      <c r="M91" s="20" t="n">
        <f aca="false">IF(L91="not in panel",0,ABS(N(L91)-D91))</f>
        <v>0</v>
      </c>
    </row>
    <row r="92" customFormat="false" ht="15" hidden="false" customHeight="false" outlineLevel="0" collapsed="false">
      <c r="A92" s="6" t="s">
        <v>75</v>
      </c>
      <c r="B92" s="6" t="s">
        <v>95</v>
      </c>
      <c r="C92" s="6" t="s">
        <v>230</v>
      </c>
      <c r="D92" s="18" t="n">
        <v>3061.455452</v>
      </c>
      <c r="E92" s="6" t="s">
        <v>83</v>
      </c>
      <c r="F92" s="6" t="s">
        <v>193</v>
      </c>
      <c r="G92" s="6" t="s">
        <v>213</v>
      </c>
      <c r="H92" s="6" t="s">
        <v>214</v>
      </c>
      <c r="I92" s="6" t="s">
        <v>280</v>
      </c>
      <c r="J92" s="6" t="s">
        <v>216</v>
      </c>
      <c r="K92" s="6" t="n">
        <f aca="false">COUNTIFS($A$6:$A$243,A92,$B$6:$B$243,B92)</f>
        <v>1</v>
      </c>
      <c r="L92" s="19" t="n">
        <f aca="false">IF(COUNTIF(Data_Panel!$A$6:$A$44,B92)=0,"not in panel",IF(A92=Data_Panel!$D$5,SUMIFS(Data_Panel!$D$6:$D$44,Data_Panel!$A$6:$A$44,B92),IF(A92=Data_Panel!$E$5,SUMIFS(Data_Panel!$E$6:$E$44,Data_Panel!$A$6:$A$44,B92),IF(A92=Data_Panel!$F$5,SUMIFS(Data_Panel!$F$6:$F$44,Data_Panel!$A$6:$A$44,B92),IF(A92=Data_Panel!$G$5,SUMIFS(Data_Panel!$G$6:$G$44,Data_Panel!$A$6:$A$44,B92),IF(A92=Data_Panel!$H$5,SUMIFS(Data_Panel!$H$6:$H$44,Data_Panel!$A$6:$A$44,B92),IF(A92=Data_Panel!$I$5,SUMIFS(Data_Panel!$I$6:$I$44,Data_Panel!$A$6:$A$44,B92),IF(A92=Data_Panel!$J$5,SUMIFS(Data_Panel!$J$6:$J$44,Data_Panel!$A$6:$A$44,B92),"period not in panel"))))))))</f>
        <v>3061.455452</v>
      </c>
      <c r="M92" s="20" t="n">
        <f aca="false">IF(L92="not in panel",0,ABS(N(L92)-D92))</f>
        <v>0</v>
      </c>
    </row>
    <row r="93" customFormat="false" ht="15" hidden="false" customHeight="false" outlineLevel="0" collapsed="false">
      <c r="A93" s="6" t="s">
        <v>75</v>
      </c>
      <c r="B93" s="6" t="s">
        <v>232</v>
      </c>
      <c r="C93" s="6" t="s">
        <v>233</v>
      </c>
      <c r="D93" s="18" t="n">
        <v>2.36</v>
      </c>
      <c r="E93" s="6" t="s">
        <v>234</v>
      </c>
      <c r="F93" s="6" t="s">
        <v>193</v>
      </c>
      <c r="G93" s="6" t="s">
        <v>213</v>
      </c>
      <c r="H93" s="6" t="s">
        <v>214</v>
      </c>
      <c r="I93" s="6" t="s">
        <v>281</v>
      </c>
      <c r="J93" s="6" t="s">
        <v>236</v>
      </c>
      <c r="K93" s="6" t="n">
        <f aca="false">COUNTIFS($A$6:$A$243,A93,$B$6:$B$243,B93)</f>
        <v>1</v>
      </c>
      <c r="L93" s="19" t="str">
        <f aca="false">IF(COUNTIF(Data_Panel!$A$6:$A$44,B93)=0,"not in panel",IF(A93=Data_Panel!$D$5,SUMIFS(Data_Panel!$D$6:$D$44,Data_Panel!$A$6:$A$44,B93),IF(A93=Data_Panel!$E$5,SUMIFS(Data_Panel!$E$6:$E$44,Data_Panel!$A$6:$A$44,B93),IF(A93=Data_Panel!$F$5,SUMIFS(Data_Panel!$F$6:$F$44,Data_Panel!$A$6:$A$44,B93),IF(A93=Data_Panel!$G$5,SUMIFS(Data_Panel!$G$6:$G$44,Data_Panel!$A$6:$A$44,B93),IF(A93=Data_Panel!$H$5,SUMIFS(Data_Panel!$H$6:$H$44,Data_Panel!$A$6:$A$44,B93),IF(A93=Data_Panel!$I$5,SUMIFS(Data_Panel!$I$6:$I$44,Data_Panel!$A$6:$A$44,B93),IF(A93=Data_Panel!$J$5,SUMIFS(Data_Panel!$J$6:$J$44,Data_Panel!$A$6:$A$44,B93),"period not in panel"))))))))</f>
        <v>not in panel</v>
      </c>
      <c r="M93" s="20" t="n">
        <f aca="false">IF(L93="not in panel",0,ABS(N(L93)-D93))</f>
        <v>0</v>
      </c>
    </row>
    <row r="94" customFormat="false" ht="15" hidden="false" customHeight="false" outlineLevel="0" collapsed="false">
      <c r="A94" s="6" t="s">
        <v>75</v>
      </c>
      <c r="B94" s="6" t="s">
        <v>237</v>
      </c>
      <c r="C94" s="6" t="s">
        <v>238</v>
      </c>
      <c r="D94" s="18" t="n">
        <v>2.37</v>
      </c>
      <c r="E94" s="6" t="s">
        <v>234</v>
      </c>
      <c r="F94" s="6" t="s">
        <v>193</v>
      </c>
      <c r="G94" s="6" t="s">
        <v>213</v>
      </c>
      <c r="H94" s="6" t="s">
        <v>214</v>
      </c>
      <c r="I94" s="6" t="s">
        <v>282</v>
      </c>
      <c r="J94" s="6" t="s">
        <v>236</v>
      </c>
      <c r="K94" s="6" t="n">
        <f aca="false">COUNTIFS($A$6:$A$243,A94,$B$6:$B$243,B94)</f>
        <v>1</v>
      </c>
      <c r="L94" s="19" t="str">
        <f aca="false">IF(COUNTIF(Data_Panel!$A$6:$A$44,B94)=0,"not in panel",IF(A94=Data_Panel!$D$5,SUMIFS(Data_Panel!$D$6:$D$44,Data_Panel!$A$6:$A$44,B94),IF(A94=Data_Panel!$E$5,SUMIFS(Data_Panel!$E$6:$E$44,Data_Panel!$A$6:$A$44,B94),IF(A94=Data_Panel!$F$5,SUMIFS(Data_Panel!$F$6:$F$44,Data_Panel!$A$6:$A$44,B94),IF(A94=Data_Panel!$G$5,SUMIFS(Data_Panel!$G$6:$G$44,Data_Panel!$A$6:$A$44,B94),IF(A94=Data_Panel!$H$5,SUMIFS(Data_Panel!$H$6:$H$44,Data_Panel!$A$6:$A$44,B94),IF(A94=Data_Panel!$I$5,SUMIFS(Data_Panel!$I$6:$I$44,Data_Panel!$A$6:$A$44,B94),IF(A94=Data_Panel!$J$5,SUMIFS(Data_Panel!$J$6:$J$44,Data_Panel!$A$6:$A$44,B94),"period not in panel"))))))))</f>
        <v>not in panel</v>
      </c>
      <c r="M94" s="20" t="n">
        <f aca="false">IF(L94="not in panel",0,ABS(N(L94)-D94))</f>
        <v>0</v>
      </c>
    </row>
    <row r="95" customFormat="false" ht="15" hidden="false" customHeight="false" outlineLevel="0" collapsed="false">
      <c r="A95" s="6" t="s">
        <v>75</v>
      </c>
      <c r="B95" s="6" t="s">
        <v>165</v>
      </c>
      <c r="C95" s="6" t="s">
        <v>240</v>
      </c>
      <c r="D95" s="18" t="n">
        <v>155945</v>
      </c>
      <c r="E95" s="6" t="s">
        <v>167</v>
      </c>
      <c r="F95" s="6" t="s">
        <v>193</v>
      </c>
      <c r="G95" s="6" t="s">
        <v>213</v>
      </c>
      <c r="H95" s="6" t="s">
        <v>214</v>
      </c>
      <c r="I95" s="6" t="s">
        <v>283</v>
      </c>
      <c r="J95" s="6" t="s">
        <v>236</v>
      </c>
      <c r="K95" s="6" t="n">
        <f aca="false">COUNTIFS($A$6:$A$243,A95,$B$6:$B$243,B95)</f>
        <v>1</v>
      </c>
      <c r="L95" s="19" t="n">
        <f aca="false">IF(COUNTIF(Data_Panel!$A$6:$A$44,B95)=0,"not in panel",IF(A95=Data_Panel!$D$5,SUMIFS(Data_Panel!$D$6:$D$44,Data_Panel!$A$6:$A$44,B95),IF(A95=Data_Panel!$E$5,SUMIFS(Data_Panel!$E$6:$E$44,Data_Panel!$A$6:$A$44,B95),IF(A95=Data_Panel!$F$5,SUMIFS(Data_Panel!$F$6:$F$44,Data_Panel!$A$6:$A$44,B95),IF(A95=Data_Panel!$G$5,SUMIFS(Data_Panel!$G$6:$G$44,Data_Panel!$A$6:$A$44,B95),IF(A95=Data_Panel!$H$5,SUMIFS(Data_Panel!$H$6:$H$44,Data_Panel!$A$6:$A$44,B95),IF(A95=Data_Panel!$I$5,SUMIFS(Data_Panel!$I$6:$I$44,Data_Panel!$A$6:$A$44,B95),IF(A95=Data_Panel!$J$5,SUMIFS(Data_Panel!$J$6:$J$44,Data_Panel!$A$6:$A$44,B95),"period not in panel"))))))))</f>
        <v>155945</v>
      </c>
      <c r="M95" s="20" t="n">
        <f aca="false">IF(L95="not in panel",0,ABS(N(L95)-D95))</f>
        <v>0</v>
      </c>
    </row>
    <row r="96" customFormat="false" ht="15" hidden="false" customHeight="false" outlineLevel="0" collapsed="false">
      <c r="A96" s="6" t="s">
        <v>75</v>
      </c>
      <c r="B96" s="6" t="s">
        <v>168</v>
      </c>
      <c r="C96" s="6" t="s">
        <v>169</v>
      </c>
      <c r="D96" s="18" t="n">
        <v>151944</v>
      </c>
      <c r="E96" s="6" t="s">
        <v>167</v>
      </c>
      <c r="F96" s="6" t="s">
        <v>193</v>
      </c>
      <c r="G96" s="6" t="s">
        <v>213</v>
      </c>
      <c r="H96" s="6" t="s">
        <v>214</v>
      </c>
      <c r="I96" s="6" t="s">
        <v>284</v>
      </c>
      <c r="J96" s="6" t="s">
        <v>236</v>
      </c>
      <c r="K96" s="6" t="n">
        <f aca="false">COUNTIFS($A$6:$A$243,A96,$B$6:$B$243,B96)</f>
        <v>1</v>
      </c>
      <c r="L96" s="19" t="n">
        <f aca="false">IF(COUNTIF(Data_Panel!$A$6:$A$44,B96)=0,"not in panel",IF(A96=Data_Panel!$D$5,SUMIFS(Data_Panel!$D$6:$D$44,Data_Panel!$A$6:$A$44,B96),IF(A96=Data_Panel!$E$5,SUMIFS(Data_Panel!$E$6:$E$44,Data_Panel!$A$6:$A$44,B96),IF(A96=Data_Panel!$F$5,SUMIFS(Data_Panel!$F$6:$F$44,Data_Panel!$A$6:$A$44,B96),IF(A96=Data_Panel!$G$5,SUMIFS(Data_Panel!$G$6:$G$44,Data_Panel!$A$6:$A$44,B96),IF(A96=Data_Panel!$H$5,SUMIFS(Data_Panel!$H$6:$H$44,Data_Panel!$A$6:$A$44,B96),IF(A96=Data_Panel!$I$5,SUMIFS(Data_Panel!$I$6:$I$44,Data_Panel!$A$6:$A$44,B96),IF(A96=Data_Panel!$J$5,SUMIFS(Data_Panel!$J$6:$J$44,Data_Panel!$A$6:$A$44,B96),"period not in panel"))))))))</f>
        <v>151944</v>
      </c>
      <c r="M96" s="20" t="n">
        <f aca="false">IF(L96="not in panel",0,ABS(N(L96)-D96))</f>
        <v>0</v>
      </c>
    </row>
    <row r="97" customFormat="false" ht="15" hidden="false" customHeight="false" outlineLevel="0" collapsed="false">
      <c r="A97" s="6" t="s">
        <v>75</v>
      </c>
      <c r="B97" s="6" t="s">
        <v>170</v>
      </c>
      <c r="C97" s="6" t="s">
        <v>243</v>
      </c>
      <c r="D97" s="18" t="n">
        <v>116</v>
      </c>
      <c r="E97" s="6" t="s">
        <v>172</v>
      </c>
      <c r="F97" s="6" t="s">
        <v>193</v>
      </c>
      <c r="G97" s="6" t="s">
        <v>194</v>
      </c>
      <c r="H97" s="6" t="s">
        <v>285</v>
      </c>
      <c r="I97" s="6" t="s">
        <v>286</v>
      </c>
      <c r="J97" s="6" t="s">
        <v>245</v>
      </c>
      <c r="K97" s="6" t="n">
        <f aca="false">COUNTIFS($A$6:$A$243,A97,$B$6:$B$243,B97)</f>
        <v>1</v>
      </c>
      <c r="L97" s="19" t="n">
        <f aca="false">IF(COUNTIF(Data_Panel!$A$6:$A$44,B97)=0,"not in panel",IF(A97=Data_Panel!$D$5,SUMIFS(Data_Panel!$D$6:$D$44,Data_Panel!$A$6:$A$44,B97),IF(A97=Data_Panel!$E$5,SUMIFS(Data_Panel!$E$6:$E$44,Data_Panel!$A$6:$A$44,B97),IF(A97=Data_Panel!$F$5,SUMIFS(Data_Panel!$F$6:$F$44,Data_Panel!$A$6:$A$44,B97),IF(A97=Data_Panel!$G$5,SUMIFS(Data_Panel!$G$6:$G$44,Data_Panel!$A$6:$A$44,B97),IF(A97=Data_Panel!$H$5,SUMIFS(Data_Panel!$H$6:$H$44,Data_Panel!$A$6:$A$44,B97),IF(A97=Data_Panel!$I$5,SUMIFS(Data_Panel!$I$6:$I$44,Data_Panel!$A$6:$A$44,B97),IF(A97=Data_Panel!$J$5,SUMIFS(Data_Panel!$J$6:$J$44,Data_Panel!$A$6:$A$44,B97),"period not in panel"))))))))</f>
        <v>116</v>
      </c>
      <c r="M97" s="20" t="n">
        <f aca="false">IF(L97="not in panel",0,ABS(N(L97)-D97))</f>
        <v>0</v>
      </c>
    </row>
    <row r="98" customFormat="false" ht="15" hidden="false" customHeight="false" outlineLevel="0" collapsed="false">
      <c r="A98" s="6" t="s">
        <v>75</v>
      </c>
      <c r="B98" s="6" t="s">
        <v>174</v>
      </c>
      <c r="C98" s="6" t="s">
        <v>246</v>
      </c>
      <c r="D98" s="18" t="n">
        <v>5.9</v>
      </c>
      <c r="E98" s="6" t="s">
        <v>106</v>
      </c>
      <c r="F98" s="6" t="s">
        <v>193</v>
      </c>
      <c r="G98" s="6" t="s">
        <v>194</v>
      </c>
      <c r="H98" s="6" t="s">
        <v>247</v>
      </c>
      <c r="I98" s="6" t="s">
        <v>287</v>
      </c>
      <c r="J98" s="6" t="s">
        <v>199</v>
      </c>
      <c r="K98" s="6" t="n">
        <f aca="false">COUNTIFS($A$6:$A$243,A98,$B$6:$B$243,B98)</f>
        <v>1</v>
      </c>
      <c r="L98" s="19" t="n">
        <f aca="false">IF(COUNTIF(Data_Panel!$A$6:$A$44,B98)=0,"not in panel",IF(A98=Data_Panel!$D$5,SUMIFS(Data_Panel!$D$6:$D$44,Data_Panel!$A$6:$A$44,B98),IF(A98=Data_Panel!$E$5,SUMIFS(Data_Panel!$E$6:$E$44,Data_Panel!$A$6:$A$44,B98),IF(A98=Data_Panel!$F$5,SUMIFS(Data_Panel!$F$6:$F$44,Data_Panel!$A$6:$A$44,B98),IF(A98=Data_Panel!$G$5,SUMIFS(Data_Panel!$G$6:$G$44,Data_Panel!$A$6:$A$44,B98),IF(A98=Data_Panel!$H$5,SUMIFS(Data_Panel!$H$6:$H$44,Data_Panel!$A$6:$A$44,B98),IF(A98=Data_Panel!$I$5,SUMIFS(Data_Panel!$I$6:$I$44,Data_Panel!$A$6:$A$44,B98),IF(A98=Data_Panel!$J$5,SUMIFS(Data_Panel!$J$6:$J$44,Data_Panel!$A$6:$A$44,B98),"period not in panel"))))))))</f>
        <v>5.9</v>
      </c>
      <c r="M98" s="20" t="n">
        <f aca="false">IF(L98="not in panel",0,ABS(N(L98)-D98))</f>
        <v>0</v>
      </c>
    </row>
    <row r="99" customFormat="false" ht="15" hidden="false" customHeight="false" outlineLevel="0" collapsed="false">
      <c r="A99" s="6" t="s">
        <v>75</v>
      </c>
      <c r="B99" s="6" t="s">
        <v>151</v>
      </c>
      <c r="C99" s="6" t="s">
        <v>249</v>
      </c>
      <c r="D99" s="18" t="n">
        <v>0</v>
      </c>
      <c r="E99" s="6" t="s">
        <v>83</v>
      </c>
      <c r="F99" s="6" t="s">
        <v>193</v>
      </c>
      <c r="G99" s="6" t="s">
        <v>194</v>
      </c>
      <c r="H99" s="6" t="s">
        <v>247</v>
      </c>
      <c r="I99" s="6" t="s">
        <v>223</v>
      </c>
      <c r="J99" s="6" t="s">
        <v>197</v>
      </c>
      <c r="K99" s="6" t="n">
        <f aca="false">COUNTIFS($A$6:$A$243,A99,$B$6:$B$243,B99)</f>
        <v>1</v>
      </c>
      <c r="L99" s="19" t="n">
        <f aca="false">IF(COUNTIF(Data_Panel!$A$6:$A$44,B99)=0,"not in panel",IF(A99=Data_Panel!$D$5,SUMIFS(Data_Panel!$D$6:$D$44,Data_Panel!$A$6:$A$44,B99),IF(A99=Data_Panel!$E$5,SUMIFS(Data_Panel!$E$6:$E$44,Data_Panel!$A$6:$A$44,B99),IF(A99=Data_Panel!$F$5,SUMIFS(Data_Panel!$F$6:$F$44,Data_Panel!$A$6:$A$44,B99),IF(A99=Data_Panel!$G$5,SUMIFS(Data_Panel!$G$6:$G$44,Data_Panel!$A$6:$A$44,B99),IF(A99=Data_Panel!$H$5,SUMIFS(Data_Panel!$H$6:$H$44,Data_Panel!$A$6:$A$44,B99),IF(A99=Data_Panel!$I$5,SUMIFS(Data_Panel!$I$6:$I$44,Data_Panel!$A$6:$A$44,B99),IF(A99=Data_Panel!$J$5,SUMIFS(Data_Panel!$J$6:$J$44,Data_Panel!$A$6:$A$44,B99),"period not in panel"))))))))</f>
        <v>0</v>
      </c>
      <c r="M99" s="20" t="n">
        <f aca="false">IF(L99="not in panel",0,ABS(N(L99)-D99))</f>
        <v>0</v>
      </c>
    </row>
    <row r="100" customFormat="false" ht="15" hidden="false" customHeight="false" outlineLevel="0" collapsed="false">
      <c r="A100" s="6" t="s">
        <v>76</v>
      </c>
      <c r="B100" s="6" t="s">
        <v>97</v>
      </c>
      <c r="C100" s="6" t="s">
        <v>98</v>
      </c>
      <c r="D100" s="18" t="n">
        <v>18743</v>
      </c>
      <c r="E100" s="6" t="s">
        <v>83</v>
      </c>
      <c r="F100" s="6" t="s">
        <v>208</v>
      </c>
      <c r="G100" s="6" t="s">
        <v>209</v>
      </c>
      <c r="H100" s="6"/>
      <c r="I100" s="6" t="s">
        <v>288</v>
      </c>
      <c r="J100" s="6" t="s">
        <v>252</v>
      </c>
      <c r="K100" s="6" t="n">
        <f aca="false">COUNTIFS($A$6:$A$243,A100,$B$6:$B$243,B100)</f>
        <v>1</v>
      </c>
      <c r="L100" s="19" t="n">
        <f aca="false">IF(COUNTIF(Data_Panel!$A$6:$A$44,B100)=0,"not in panel",IF(A100=Data_Panel!$D$5,SUMIFS(Data_Panel!$D$6:$D$44,Data_Panel!$A$6:$A$44,B100),IF(A100=Data_Panel!$E$5,SUMIFS(Data_Panel!$E$6:$E$44,Data_Panel!$A$6:$A$44,B100),IF(A100=Data_Panel!$F$5,SUMIFS(Data_Panel!$F$6:$F$44,Data_Panel!$A$6:$A$44,B100),IF(A100=Data_Panel!$G$5,SUMIFS(Data_Panel!$G$6:$G$44,Data_Panel!$A$6:$A$44,B100),IF(A100=Data_Panel!$H$5,SUMIFS(Data_Panel!$H$6:$H$44,Data_Panel!$A$6:$A$44,B100),IF(A100=Data_Panel!$I$5,SUMIFS(Data_Panel!$I$6:$I$44,Data_Panel!$A$6:$A$44,B100),IF(A100=Data_Panel!$J$5,SUMIFS(Data_Panel!$J$6:$J$44,Data_Panel!$A$6:$A$44,B100),"period not in panel"))))))))</f>
        <v>18743</v>
      </c>
      <c r="M100" s="20" t="n">
        <f aca="false">IF(L100="not in panel",0,ABS(N(L100)-D100))</f>
        <v>0</v>
      </c>
    </row>
    <row r="101" customFormat="false" ht="15" hidden="false" customHeight="false" outlineLevel="0" collapsed="false">
      <c r="A101" s="6" t="s">
        <v>76</v>
      </c>
      <c r="B101" s="6" t="s">
        <v>100</v>
      </c>
      <c r="C101" s="6" t="s">
        <v>101</v>
      </c>
      <c r="D101" s="18" t="n">
        <v>2382</v>
      </c>
      <c r="E101" s="6" t="s">
        <v>83</v>
      </c>
      <c r="F101" s="6" t="s">
        <v>208</v>
      </c>
      <c r="G101" s="6" t="s">
        <v>209</v>
      </c>
      <c r="H101" s="6"/>
      <c r="I101" s="6" t="s">
        <v>289</v>
      </c>
      <c r="J101" s="6" t="s">
        <v>252</v>
      </c>
      <c r="K101" s="6" t="n">
        <f aca="false">COUNTIFS($A$6:$A$243,A101,$B$6:$B$243,B101)</f>
        <v>1</v>
      </c>
      <c r="L101" s="19" t="n">
        <f aca="false">IF(COUNTIF(Data_Panel!$A$6:$A$44,B101)=0,"not in panel",IF(A101=Data_Panel!$D$5,SUMIFS(Data_Panel!$D$6:$D$44,Data_Panel!$A$6:$A$44,B101),IF(A101=Data_Panel!$E$5,SUMIFS(Data_Panel!$E$6:$E$44,Data_Panel!$A$6:$A$44,B101),IF(A101=Data_Panel!$F$5,SUMIFS(Data_Panel!$F$6:$F$44,Data_Panel!$A$6:$A$44,B101),IF(A101=Data_Panel!$G$5,SUMIFS(Data_Panel!$G$6:$G$44,Data_Panel!$A$6:$A$44,B101),IF(A101=Data_Panel!$H$5,SUMIFS(Data_Panel!$H$6:$H$44,Data_Panel!$A$6:$A$44,B101),IF(A101=Data_Panel!$I$5,SUMIFS(Data_Panel!$I$6:$I$44,Data_Panel!$A$6:$A$44,B101),IF(A101=Data_Panel!$J$5,SUMIFS(Data_Panel!$J$6:$J$44,Data_Panel!$A$6:$A$44,B101),"period not in panel"))))))))</f>
        <v>2382</v>
      </c>
      <c r="M101" s="20" t="n">
        <f aca="false">IF(L101="not in panel",0,ABS(N(L101)-D101))</f>
        <v>0</v>
      </c>
    </row>
    <row r="102" customFormat="false" ht="15" hidden="false" customHeight="false" outlineLevel="0" collapsed="false">
      <c r="A102" s="6" t="s">
        <v>76</v>
      </c>
      <c r="B102" s="6" t="s">
        <v>102</v>
      </c>
      <c r="C102" s="6" t="s">
        <v>103</v>
      </c>
      <c r="D102" s="18" t="n">
        <v>4003</v>
      </c>
      <c r="E102" s="6" t="s">
        <v>83</v>
      </c>
      <c r="F102" s="6" t="s">
        <v>208</v>
      </c>
      <c r="G102" s="6" t="s">
        <v>209</v>
      </c>
      <c r="H102" s="6"/>
      <c r="I102" s="6" t="s">
        <v>289</v>
      </c>
      <c r="J102" s="6" t="s">
        <v>252</v>
      </c>
      <c r="K102" s="6" t="n">
        <f aca="false">COUNTIFS($A$6:$A$243,A102,$B$6:$B$243,B102)</f>
        <v>1</v>
      </c>
      <c r="L102" s="19" t="n">
        <f aca="false">IF(COUNTIF(Data_Panel!$A$6:$A$44,B102)=0,"not in panel",IF(A102=Data_Panel!$D$5,SUMIFS(Data_Panel!$D$6:$D$44,Data_Panel!$A$6:$A$44,B102),IF(A102=Data_Panel!$E$5,SUMIFS(Data_Panel!$E$6:$E$44,Data_Panel!$A$6:$A$44,B102),IF(A102=Data_Panel!$F$5,SUMIFS(Data_Panel!$F$6:$F$44,Data_Panel!$A$6:$A$44,B102),IF(A102=Data_Panel!$G$5,SUMIFS(Data_Panel!$G$6:$G$44,Data_Panel!$A$6:$A$44,B102),IF(A102=Data_Panel!$H$5,SUMIFS(Data_Panel!$H$6:$H$44,Data_Panel!$A$6:$A$44,B102),IF(A102=Data_Panel!$I$5,SUMIFS(Data_Panel!$I$6:$I$44,Data_Panel!$A$6:$A$44,B102),IF(A102=Data_Panel!$J$5,SUMIFS(Data_Panel!$J$6:$J$44,Data_Panel!$A$6:$A$44,B102),"period not in panel"))))))))</f>
        <v>4003</v>
      </c>
      <c r="M102" s="20" t="n">
        <f aca="false">IF(L102="not in panel",0,ABS(N(L102)-D102))</f>
        <v>0</v>
      </c>
    </row>
    <row r="103" customFormat="false" ht="15" hidden="false" customHeight="false" outlineLevel="0" collapsed="false">
      <c r="A103" s="6" t="s">
        <v>76</v>
      </c>
      <c r="B103" s="6" t="s">
        <v>108</v>
      </c>
      <c r="C103" s="6" t="s">
        <v>109</v>
      </c>
      <c r="D103" s="18" t="n">
        <v>863</v>
      </c>
      <c r="E103" s="6" t="s">
        <v>83</v>
      </c>
      <c r="F103" s="6" t="s">
        <v>208</v>
      </c>
      <c r="G103" s="6" t="s">
        <v>209</v>
      </c>
      <c r="H103" s="6"/>
      <c r="I103" s="6" t="s">
        <v>290</v>
      </c>
      <c r="J103" s="6" t="s">
        <v>252</v>
      </c>
      <c r="K103" s="6" t="n">
        <f aca="false">COUNTIFS($A$6:$A$243,A103,$B$6:$B$243,B103)</f>
        <v>1</v>
      </c>
      <c r="L103" s="19" t="n">
        <f aca="false">IF(COUNTIF(Data_Panel!$A$6:$A$44,B103)=0,"not in panel",IF(A103=Data_Panel!$D$5,SUMIFS(Data_Panel!$D$6:$D$44,Data_Panel!$A$6:$A$44,B103),IF(A103=Data_Panel!$E$5,SUMIFS(Data_Panel!$E$6:$E$44,Data_Panel!$A$6:$A$44,B103),IF(A103=Data_Panel!$F$5,SUMIFS(Data_Panel!$F$6:$F$44,Data_Panel!$A$6:$A$44,B103),IF(A103=Data_Panel!$G$5,SUMIFS(Data_Panel!$G$6:$G$44,Data_Panel!$A$6:$A$44,B103),IF(A103=Data_Panel!$H$5,SUMIFS(Data_Panel!$H$6:$H$44,Data_Panel!$A$6:$A$44,B103),IF(A103=Data_Panel!$I$5,SUMIFS(Data_Panel!$I$6:$I$44,Data_Panel!$A$6:$A$44,B103),IF(A103=Data_Panel!$J$5,SUMIFS(Data_Panel!$J$6:$J$44,Data_Panel!$A$6:$A$44,B103),"period not in panel"))))))))</f>
        <v>863</v>
      </c>
      <c r="M103" s="20" t="n">
        <f aca="false">IF(L103="not in panel",0,ABS(N(L103)-D103))</f>
        <v>0</v>
      </c>
    </row>
    <row r="104" customFormat="false" ht="15" hidden="false" customHeight="false" outlineLevel="0" collapsed="false">
      <c r="A104" s="6" t="s">
        <v>76</v>
      </c>
      <c r="B104" s="6" t="s">
        <v>111</v>
      </c>
      <c r="C104" s="6" t="s">
        <v>201</v>
      </c>
      <c r="D104" s="18" t="n">
        <v>460</v>
      </c>
      <c r="E104" s="6" t="s">
        <v>83</v>
      </c>
      <c r="F104" s="6" t="s">
        <v>208</v>
      </c>
      <c r="G104" s="6" t="s">
        <v>209</v>
      </c>
      <c r="H104" s="6"/>
      <c r="I104" s="6" t="s">
        <v>290</v>
      </c>
      <c r="J104" s="6" t="s">
        <v>252</v>
      </c>
      <c r="K104" s="6" t="n">
        <f aca="false">COUNTIFS($A$6:$A$243,A104,$B$6:$B$243,B104)</f>
        <v>1</v>
      </c>
      <c r="L104" s="19" t="n">
        <f aca="false">IF(COUNTIF(Data_Panel!$A$6:$A$44,B104)=0,"not in panel",IF(A104=Data_Panel!$D$5,SUMIFS(Data_Panel!$D$6:$D$44,Data_Panel!$A$6:$A$44,B104),IF(A104=Data_Panel!$E$5,SUMIFS(Data_Panel!$E$6:$E$44,Data_Panel!$A$6:$A$44,B104),IF(A104=Data_Panel!$F$5,SUMIFS(Data_Panel!$F$6:$F$44,Data_Panel!$A$6:$A$44,B104),IF(A104=Data_Panel!$G$5,SUMIFS(Data_Panel!$G$6:$G$44,Data_Panel!$A$6:$A$44,B104),IF(A104=Data_Panel!$H$5,SUMIFS(Data_Panel!$H$6:$H$44,Data_Panel!$A$6:$A$44,B104),IF(A104=Data_Panel!$I$5,SUMIFS(Data_Panel!$I$6:$I$44,Data_Panel!$A$6:$A$44,B104),IF(A104=Data_Panel!$J$5,SUMIFS(Data_Panel!$J$6:$J$44,Data_Panel!$A$6:$A$44,B104),"period not in panel"))))))))</f>
        <v>460</v>
      </c>
      <c r="M104" s="20" t="n">
        <f aca="false">IF(L104="not in panel",0,ABS(N(L104)-D104))</f>
        <v>0</v>
      </c>
    </row>
    <row r="105" customFormat="false" ht="15" hidden="false" customHeight="false" outlineLevel="0" collapsed="false">
      <c r="A105" s="6" t="s">
        <v>76</v>
      </c>
      <c r="B105" s="6" t="s">
        <v>116</v>
      </c>
      <c r="C105" s="6" t="s">
        <v>203</v>
      </c>
      <c r="D105" s="18" t="n">
        <v>404</v>
      </c>
      <c r="E105" s="6" t="s">
        <v>83</v>
      </c>
      <c r="F105" s="6" t="s">
        <v>208</v>
      </c>
      <c r="G105" s="6" t="s">
        <v>209</v>
      </c>
      <c r="H105" s="6"/>
      <c r="I105" s="6" t="s">
        <v>290</v>
      </c>
      <c r="J105" s="6" t="s">
        <v>252</v>
      </c>
      <c r="K105" s="6" t="n">
        <f aca="false">COUNTIFS($A$6:$A$243,A105,$B$6:$B$243,B105)</f>
        <v>1</v>
      </c>
      <c r="L105" s="19" t="n">
        <f aca="false">IF(COUNTIF(Data_Panel!$A$6:$A$44,B105)=0,"not in panel",IF(A105=Data_Panel!$D$5,SUMIFS(Data_Panel!$D$6:$D$44,Data_Panel!$A$6:$A$44,B105),IF(A105=Data_Panel!$E$5,SUMIFS(Data_Panel!$E$6:$E$44,Data_Panel!$A$6:$A$44,B105),IF(A105=Data_Panel!$F$5,SUMIFS(Data_Panel!$F$6:$F$44,Data_Panel!$A$6:$A$44,B105),IF(A105=Data_Panel!$G$5,SUMIFS(Data_Panel!$G$6:$G$44,Data_Panel!$A$6:$A$44,B105),IF(A105=Data_Panel!$H$5,SUMIFS(Data_Panel!$H$6:$H$44,Data_Panel!$A$6:$A$44,B105),IF(A105=Data_Panel!$I$5,SUMIFS(Data_Panel!$I$6:$I$44,Data_Panel!$A$6:$A$44,B105),IF(A105=Data_Panel!$J$5,SUMIFS(Data_Panel!$J$6:$J$44,Data_Panel!$A$6:$A$44,B105),"period not in panel"))))))))</f>
        <v>404</v>
      </c>
      <c r="M105" s="20" t="n">
        <f aca="false">IF(L105="not in panel",0,ABS(N(L105)-D105))</f>
        <v>0</v>
      </c>
    </row>
    <row r="106" customFormat="false" ht="15" hidden="false" customHeight="false" outlineLevel="0" collapsed="false">
      <c r="A106" s="6" t="s">
        <v>76</v>
      </c>
      <c r="B106" s="6" t="s">
        <v>119</v>
      </c>
      <c r="C106" s="6" t="s">
        <v>120</v>
      </c>
      <c r="D106" s="18" t="n">
        <v>585</v>
      </c>
      <c r="E106" s="6" t="s">
        <v>83</v>
      </c>
      <c r="F106" s="6" t="s">
        <v>208</v>
      </c>
      <c r="G106" s="6" t="s">
        <v>209</v>
      </c>
      <c r="H106" s="6"/>
      <c r="I106" s="6" t="s">
        <v>290</v>
      </c>
      <c r="J106" s="6" t="s">
        <v>252</v>
      </c>
      <c r="K106" s="6" t="n">
        <f aca="false">COUNTIFS($A$6:$A$243,A106,$B$6:$B$243,B106)</f>
        <v>1</v>
      </c>
      <c r="L106" s="19" t="n">
        <f aca="false">IF(COUNTIF(Data_Panel!$A$6:$A$44,B106)=0,"not in panel",IF(A106=Data_Panel!$D$5,SUMIFS(Data_Panel!$D$6:$D$44,Data_Panel!$A$6:$A$44,B106),IF(A106=Data_Panel!$E$5,SUMIFS(Data_Panel!$E$6:$E$44,Data_Panel!$A$6:$A$44,B106),IF(A106=Data_Panel!$F$5,SUMIFS(Data_Panel!$F$6:$F$44,Data_Panel!$A$6:$A$44,B106),IF(A106=Data_Panel!$G$5,SUMIFS(Data_Panel!$G$6:$G$44,Data_Panel!$A$6:$A$44,B106),IF(A106=Data_Panel!$H$5,SUMIFS(Data_Panel!$H$6:$H$44,Data_Panel!$A$6:$A$44,B106),IF(A106=Data_Panel!$I$5,SUMIFS(Data_Panel!$I$6:$I$44,Data_Panel!$A$6:$A$44,B106),IF(A106=Data_Panel!$J$5,SUMIFS(Data_Panel!$J$6:$J$44,Data_Panel!$A$6:$A$44,B106),"period not in panel"))))))))</f>
        <v>585</v>
      </c>
      <c r="M106" s="20" t="n">
        <f aca="false">IF(L106="not in panel",0,ABS(N(L106)-D106))</f>
        <v>0</v>
      </c>
    </row>
    <row r="107" customFormat="false" ht="15" hidden="false" customHeight="false" outlineLevel="0" collapsed="false">
      <c r="A107" s="6" t="s">
        <v>76</v>
      </c>
      <c r="B107" s="6" t="s">
        <v>121</v>
      </c>
      <c r="C107" s="6" t="s">
        <v>122</v>
      </c>
      <c r="D107" s="18" t="n">
        <v>1269</v>
      </c>
      <c r="E107" s="6" t="s">
        <v>83</v>
      </c>
      <c r="F107" s="6" t="s">
        <v>208</v>
      </c>
      <c r="G107" s="6" t="s">
        <v>209</v>
      </c>
      <c r="H107" s="6"/>
      <c r="I107" s="6" t="s">
        <v>290</v>
      </c>
      <c r="J107" s="6" t="s">
        <v>252</v>
      </c>
      <c r="K107" s="6" t="n">
        <f aca="false">COUNTIFS($A$6:$A$243,A107,$B$6:$B$243,B107)</f>
        <v>1</v>
      </c>
      <c r="L107" s="19" t="n">
        <f aca="false">IF(COUNTIF(Data_Panel!$A$6:$A$44,B107)=0,"not in panel",IF(A107=Data_Panel!$D$5,SUMIFS(Data_Panel!$D$6:$D$44,Data_Panel!$A$6:$A$44,B107),IF(A107=Data_Panel!$E$5,SUMIFS(Data_Panel!$E$6:$E$44,Data_Panel!$A$6:$A$44,B107),IF(A107=Data_Panel!$F$5,SUMIFS(Data_Panel!$F$6:$F$44,Data_Panel!$A$6:$A$44,B107),IF(A107=Data_Panel!$G$5,SUMIFS(Data_Panel!$G$6:$G$44,Data_Panel!$A$6:$A$44,B107),IF(A107=Data_Panel!$H$5,SUMIFS(Data_Panel!$H$6:$H$44,Data_Panel!$A$6:$A$44,B107),IF(A107=Data_Panel!$I$5,SUMIFS(Data_Panel!$I$6:$I$44,Data_Panel!$A$6:$A$44,B107),IF(A107=Data_Panel!$J$5,SUMIFS(Data_Panel!$J$6:$J$44,Data_Panel!$A$6:$A$44,B107),"period not in panel"))))))))</f>
        <v>1269</v>
      </c>
      <c r="M107" s="20" t="n">
        <f aca="false">IF(L107="not in panel",0,ABS(N(L107)-D107))</f>
        <v>0</v>
      </c>
    </row>
    <row r="108" customFormat="false" ht="15" hidden="false" customHeight="false" outlineLevel="0" collapsed="false">
      <c r="A108" s="6" t="s">
        <v>76</v>
      </c>
      <c r="B108" s="6" t="s">
        <v>123</v>
      </c>
      <c r="C108" s="6" t="s">
        <v>207</v>
      </c>
      <c r="D108" s="18" t="n">
        <v>1035</v>
      </c>
      <c r="E108" s="6" t="s">
        <v>83</v>
      </c>
      <c r="F108" s="6" t="s">
        <v>208</v>
      </c>
      <c r="G108" s="6" t="s">
        <v>209</v>
      </c>
      <c r="H108" s="6"/>
      <c r="I108" s="6" t="s">
        <v>290</v>
      </c>
      <c r="J108" s="6" t="s">
        <v>252</v>
      </c>
      <c r="K108" s="6" t="n">
        <f aca="false">COUNTIFS($A$6:$A$243,A108,$B$6:$B$243,B108)</f>
        <v>1</v>
      </c>
      <c r="L108" s="19" t="n">
        <f aca="false">IF(COUNTIF(Data_Panel!$A$6:$A$44,B108)=0,"not in panel",IF(A108=Data_Panel!$D$5,SUMIFS(Data_Panel!$D$6:$D$44,Data_Panel!$A$6:$A$44,B108),IF(A108=Data_Panel!$E$5,SUMIFS(Data_Panel!$E$6:$E$44,Data_Panel!$A$6:$A$44,B108),IF(A108=Data_Panel!$F$5,SUMIFS(Data_Panel!$F$6:$F$44,Data_Panel!$A$6:$A$44,B108),IF(A108=Data_Panel!$G$5,SUMIFS(Data_Panel!$G$6:$G$44,Data_Panel!$A$6:$A$44,B108),IF(A108=Data_Panel!$H$5,SUMIFS(Data_Panel!$H$6:$H$44,Data_Panel!$A$6:$A$44,B108),IF(A108=Data_Panel!$I$5,SUMIFS(Data_Panel!$I$6:$I$44,Data_Panel!$A$6:$A$44,B108),IF(A108=Data_Panel!$J$5,SUMIFS(Data_Panel!$J$6:$J$44,Data_Panel!$A$6:$A$44,B108),"period not in panel"))))))))</f>
        <v>1035</v>
      </c>
      <c r="M108" s="20" t="n">
        <f aca="false">IF(L108="not in panel",0,ABS(N(L108)-D108))</f>
        <v>0</v>
      </c>
    </row>
    <row r="109" customFormat="false" ht="15" hidden="false" customHeight="false" outlineLevel="0" collapsed="false">
      <c r="A109" s="6" t="s">
        <v>76</v>
      </c>
      <c r="B109" s="6" t="s">
        <v>126</v>
      </c>
      <c r="C109" s="6" t="s">
        <v>212</v>
      </c>
      <c r="D109" s="18" t="n">
        <v>1621</v>
      </c>
      <c r="E109" s="6" t="s">
        <v>83</v>
      </c>
      <c r="F109" s="6" t="s">
        <v>208</v>
      </c>
      <c r="G109" s="6" t="s">
        <v>209</v>
      </c>
      <c r="H109" s="6"/>
      <c r="I109" s="6" t="s">
        <v>290</v>
      </c>
      <c r="J109" s="6" t="s">
        <v>252</v>
      </c>
      <c r="K109" s="6" t="n">
        <f aca="false">COUNTIFS($A$6:$A$243,A109,$B$6:$B$243,B109)</f>
        <v>1</v>
      </c>
      <c r="L109" s="19" t="n">
        <f aca="false">IF(COUNTIF(Data_Panel!$A$6:$A$44,B109)=0,"not in panel",IF(A109=Data_Panel!$D$5,SUMIFS(Data_Panel!$D$6:$D$44,Data_Panel!$A$6:$A$44,B109),IF(A109=Data_Panel!$E$5,SUMIFS(Data_Panel!$E$6:$E$44,Data_Panel!$A$6:$A$44,B109),IF(A109=Data_Panel!$F$5,SUMIFS(Data_Panel!$F$6:$F$44,Data_Panel!$A$6:$A$44,B109),IF(A109=Data_Panel!$G$5,SUMIFS(Data_Panel!$G$6:$G$44,Data_Panel!$A$6:$A$44,B109),IF(A109=Data_Panel!$H$5,SUMIFS(Data_Panel!$H$6:$H$44,Data_Panel!$A$6:$A$44,B109),IF(A109=Data_Panel!$I$5,SUMIFS(Data_Panel!$I$6:$I$44,Data_Panel!$A$6:$A$44,B109),IF(A109=Data_Panel!$J$5,SUMIFS(Data_Panel!$J$6:$J$44,Data_Panel!$A$6:$A$44,B109),"period not in panel"))))))))</f>
        <v>1621</v>
      </c>
      <c r="M109" s="20" t="n">
        <f aca="false">IF(L109="not in panel",0,ABS(N(L109)-D109))</f>
        <v>0</v>
      </c>
    </row>
    <row r="110" customFormat="false" ht="15" hidden="false" customHeight="false" outlineLevel="0" collapsed="false">
      <c r="A110" s="6" t="s">
        <v>76</v>
      </c>
      <c r="B110" s="6" t="s">
        <v>132</v>
      </c>
      <c r="C110" s="6" t="s">
        <v>133</v>
      </c>
      <c r="D110" s="18" t="n">
        <v>2617.625833</v>
      </c>
      <c r="E110" s="6" t="s">
        <v>83</v>
      </c>
      <c r="F110" s="6" t="s">
        <v>208</v>
      </c>
      <c r="G110" s="6" t="s">
        <v>209</v>
      </c>
      <c r="H110" s="6"/>
      <c r="I110" s="6" t="s">
        <v>291</v>
      </c>
      <c r="J110" s="6" t="s">
        <v>258</v>
      </c>
      <c r="K110" s="6" t="n">
        <f aca="false">COUNTIFS($A$6:$A$243,A110,$B$6:$B$243,B110)</f>
        <v>1</v>
      </c>
      <c r="L110" s="19" t="n">
        <f aca="false">IF(COUNTIF(Data_Panel!$A$6:$A$44,B110)=0,"not in panel",IF(A110=Data_Panel!$D$5,SUMIFS(Data_Panel!$D$6:$D$44,Data_Panel!$A$6:$A$44,B110),IF(A110=Data_Panel!$E$5,SUMIFS(Data_Panel!$E$6:$E$44,Data_Panel!$A$6:$A$44,B110),IF(A110=Data_Panel!$F$5,SUMIFS(Data_Panel!$F$6:$F$44,Data_Panel!$A$6:$A$44,B110),IF(A110=Data_Panel!$G$5,SUMIFS(Data_Panel!$G$6:$G$44,Data_Panel!$A$6:$A$44,B110),IF(A110=Data_Panel!$H$5,SUMIFS(Data_Panel!$H$6:$H$44,Data_Panel!$A$6:$A$44,B110),IF(A110=Data_Panel!$I$5,SUMIFS(Data_Panel!$I$6:$I$44,Data_Panel!$A$6:$A$44,B110),IF(A110=Data_Panel!$J$5,SUMIFS(Data_Panel!$J$6:$J$44,Data_Panel!$A$6:$A$44,B110),"period not in panel"))))))))</f>
        <v>2617.625833</v>
      </c>
      <c r="M110" s="20" t="n">
        <f aca="false">IF(L110="not in panel",0,ABS(N(L110)-D110))</f>
        <v>0</v>
      </c>
    </row>
    <row r="111" customFormat="false" ht="15" hidden="false" customHeight="false" outlineLevel="0" collapsed="false">
      <c r="A111" s="6" t="s">
        <v>76</v>
      </c>
      <c r="B111" s="6" t="s">
        <v>128</v>
      </c>
      <c r="C111" s="6" t="s">
        <v>217</v>
      </c>
      <c r="D111" s="18" t="n">
        <v>4363.286339</v>
      </c>
      <c r="E111" s="6" t="s">
        <v>83</v>
      </c>
      <c r="F111" s="6" t="s">
        <v>208</v>
      </c>
      <c r="G111" s="6" t="s">
        <v>209</v>
      </c>
      <c r="H111" s="6"/>
      <c r="I111" s="6" t="s">
        <v>291</v>
      </c>
      <c r="J111" s="6" t="s">
        <v>258</v>
      </c>
      <c r="K111" s="6" t="n">
        <f aca="false">COUNTIFS($A$6:$A$243,A111,$B$6:$B$243,B111)</f>
        <v>1</v>
      </c>
      <c r="L111" s="19" t="n">
        <f aca="false">IF(COUNTIF(Data_Panel!$A$6:$A$44,B111)=0,"not in panel",IF(A111=Data_Panel!$D$5,SUMIFS(Data_Panel!$D$6:$D$44,Data_Panel!$A$6:$A$44,B111),IF(A111=Data_Panel!$E$5,SUMIFS(Data_Panel!$E$6:$E$44,Data_Panel!$A$6:$A$44,B111),IF(A111=Data_Panel!$F$5,SUMIFS(Data_Panel!$F$6:$F$44,Data_Panel!$A$6:$A$44,B111),IF(A111=Data_Panel!$G$5,SUMIFS(Data_Panel!$G$6:$G$44,Data_Panel!$A$6:$A$44,B111),IF(A111=Data_Panel!$H$5,SUMIFS(Data_Panel!$H$6:$H$44,Data_Panel!$A$6:$A$44,B111),IF(A111=Data_Panel!$I$5,SUMIFS(Data_Panel!$I$6:$I$44,Data_Panel!$A$6:$A$44,B111),IF(A111=Data_Panel!$J$5,SUMIFS(Data_Panel!$J$6:$J$44,Data_Panel!$A$6:$A$44,B111),"period not in panel"))))))))</f>
        <v>4363.286339</v>
      </c>
      <c r="M111" s="20" t="n">
        <f aca="false">IF(L111="not in panel",0,ABS(N(L111)-D111))</f>
        <v>0</v>
      </c>
    </row>
    <row r="112" customFormat="false" ht="15" hidden="false" customHeight="false" outlineLevel="0" collapsed="false">
      <c r="A112" s="6" t="s">
        <v>76</v>
      </c>
      <c r="B112" s="6" t="s">
        <v>130</v>
      </c>
      <c r="C112" s="6" t="s">
        <v>219</v>
      </c>
      <c r="D112" s="18" t="n">
        <v>-1745.550183</v>
      </c>
      <c r="E112" s="6" t="s">
        <v>83</v>
      </c>
      <c r="F112" s="6" t="s">
        <v>208</v>
      </c>
      <c r="G112" s="6" t="s">
        <v>209</v>
      </c>
      <c r="H112" s="6"/>
      <c r="I112" s="6" t="s">
        <v>291</v>
      </c>
      <c r="J112" s="6" t="s">
        <v>258</v>
      </c>
      <c r="K112" s="6" t="n">
        <f aca="false">COUNTIFS($A$6:$A$243,A112,$B$6:$B$243,B112)</f>
        <v>1</v>
      </c>
      <c r="L112" s="19" t="n">
        <f aca="false">IF(COUNTIF(Data_Panel!$A$6:$A$44,B112)=0,"not in panel",IF(A112=Data_Panel!$D$5,SUMIFS(Data_Panel!$D$6:$D$44,Data_Panel!$A$6:$A$44,B112),IF(A112=Data_Panel!$E$5,SUMIFS(Data_Panel!$E$6:$E$44,Data_Panel!$A$6:$A$44,B112),IF(A112=Data_Panel!$F$5,SUMIFS(Data_Panel!$F$6:$F$44,Data_Panel!$A$6:$A$44,B112),IF(A112=Data_Panel!$G$5,SUMIFS(Data_Panel!$G$6:$G$44,Data_Panel!$A$6:$A$44,B112),IF(A112=Data_Panel!$H$5,SUMIFS(Data_Panel!$H$6:$H$44,Data_Panel!$A$6:$A$44,B112),IF(A112=Data_Panel!$I$5,SUMIFS(Data_Panel!$I$6:$I$44,Data_Panel!$A$6:$A$44,B112),IF(A112=Data_Panel!$J$5,SUMIFS(Data_Panel!$J$6:$J$44,Data_Panel!$A$6:$A$44,B112),"period not in panel"))))))))</f>
        <v>-1745.550183</v>
      </c>
      <c r="M112" s="20" t="n">
        <f aca="false">IF(L112="not in panel",0,ABS(N(L112)-D112))</f>
        <v>0</v>
      </c>
    </row>
    <row r="113" customFormat="false" ht="15" hidden="false" customHeight="false" outlineLevel="0" collapsed="false">
      <c r="A113" s="6" t="s">
        <v>76</v>
      </c>
      <c r="B113" s="6" t="s">
        <v>134</v>
      </c>
      <c r="C113" s="6" t="s">
        <v>221</v>
      </c>
      <c r="D113" s="18" t="n">
        <v>8557.799768</v>
      </c>
      <c r="E113" s="6" t="s">
        <v>83</v>
      </c>
      <c r="F113" s="6" t="s">
        <v>208</v>
      </c>
      <c r="G113" s="6" t="s">
        <v>209</v>
      </c>
      <c r="H113" s="6"/>
      <c r="I113" s="6" t="s">
        <v>292</v>
      </c>
      <c r="J113" s="6" t="s">
        <v>216</v>
      </c>
      <c r="K113" s="6" t="n">
        <f aca="false">COUNTIFS($A$6:$A$243,A113,$B$6:$B$243,B113)</f>
        <v>1</v>
      </c>
      <c r="L113" s="19" t="n">
        <f aca="false">IF(COUNTIF(Data_Panel!$A$6:$A$44,B113)=0,"not in panel",IF(A113=Data_Panel!$D$5,SUMIFS(Data_Panel!$D$6:$D$44,Data_Panel!$A$6:$A$44,B113),IF(A113=Data_Panel!$E$5,SUMIFS(Data_Panel!$E$6:$E$44,Data_Panel!$A$6:$A$44,B113),IF(A113=Data_Panel!$F$5,SUMIFS(Data_Panel!$F$6:$F$44,Data_Panel!$A$6:$A$44,B113),IF(A113=Data_Panel!$G$5,SUMIFS(Data_Panel!$G$6:$G$44,Data_Panel!$A$6:$A$44,B113),IF(A113=Data_Panel!$H$5,SUMIFS(Data_Panel!$H$6:$H$44,Data_Panel!$A$6:$A$44,B113),IF(A113=Data_Panel!$I$5,SUMIFS(Data_Panel!$I$6:$I$44,Data_Panel!$A$6:$A$44,B113),IF(A113=Data_Panel!$J$5,SUMIFS(Data_Panel!$J$6:$J$44,Data_Panel!$A$6:$A$44,B113),"period not in panel"))))))))</f>
        <v>8557.799768</v>
      </c>
      <c r="M113" s="20" t="n">
        <f aca="false">IF(L113="not in panel",0,ABS(N(L113)-D113))</f>
        <v>0</v>
      </c>
    </row>
    <row r="114" customFormat="false" ht="15" hidden="false" customHeight="false" outlineLevel="0" collapsed="false">
      <c r="A114" s="6" t="s">
        <v>76</v>
      </c>
      <c r="B114" s="6" t="s">
        <v>153</v>
      </c>
      <c r="C114" s="6" t="s">
        <v>268</v>
      </c>
      <c r="D114" s="18" t="n">
        <v>-540</v>
      </c>
      <c r="E114" s="6" t="s">
        <v>83</v>
      </c>
      <c r="F114" s="6" t="s">
        <v>208</v>
      </c>
      <c r="G114" s="6" t="s">
        <v>209</v>
      </c>
      <c r="H114" s="6"/>
      <c r="I114" s="6" t="s">
        <v>293</v>
      </c>
      <c r="J114" s="6" t="s">
        <v>294</v>
      </c>
      <c r="K114" s="6" t="n">
        <f aca="false">COUNTIFS($A$6:$A$243,A114,$B$6:$B$243,B114)</f>
        <v>1</v>
      </c>
      <c r="L114" s="19" t="n">
        <f aca="false">IF(COUNTIF(Data_Panel!$A$6:$A$44,B114)=0,"not in panel",IF(A114=Data_Panel!$D$5,SUMIFS(Data_Panel!$D$6:$D$44,Data_Panel!$A$6:$A$44,B114),IF(A114=Data_Panel!$E$5,SUMIFS(Data_Panel!$E$6:$E$44,Data_Panel!$A$6:$A$44,B114),IF(A114=Data_Panel!$F$5,SUMIFS(Data_Panel!$F$6:$F$44,Data_Panel!$A$6:$A$44,B114),IF(A114=Data_Panel!$G$5,SUMIFS(Data_Panel!$G$6:$G$44,Data_Panel!$A$6:$A$44,B114),IF(A114=Data_Panel!$H$5,SUMIFS(Data_Panel!$H$6:$H$44,Data_Panel!$A$6:$A$44,B114),IF(A114=Data_Panel!$I$5,SUMIFS(Data_Panel!$I$6:$I$44,Data_Panel!$A$6:$A$44,B114),IF(A114=Data_Panel!$J$5,SUMIFS(Data_Panel!$J$6:$J$44,Data_Panel!$A$6:$A$44,B114),"period not in panel"))))))))</f>
        <v>-540</v>
      </c>
      <c r="M114" s="20" t="n">
        <f aca="false">IF(L114="not in panel",0,ABS(N(L114)-D114))</f>
        <v>0</v>
      </c>
    </row>
    <row r="115" customFormat="false" ht="15" hidden="false" customHeight="false" outlineLevel="0" collapsed="false">
      <c r="A115" s="6" t="s">
        <v>76</v>
      </c>
      <c r="B115" s="6" t="s">
        <v>156</v>
      </c>
      <c r="C115" s="6" t="s">
        <v>271</v>
      </c>
      <c r="D115" s="18" t="n">
        <v>-60</v>
      </c>
      <c r="E115" s="6" t="s">
        <v>83</v>
      </c>
      <c r="F115" s="6" t="s">
        <v>208</v>
      </c>
      <c r="G115" s="6" t="s">
        <v>209</v>
      </c>
      <c r="H115" s="6"/>
      <c r="I115" s="6" t="s">
        <v>293</v>
      </c>
      <c r="J115" s="6" t="s">
        <v>294</v>
      </c>
      <c r="K115" s="6" t="n">
        <f aca="false">COUNTIFS($A$6:$A$243,A115,$B$6:$B$243,B115)</f>
        <v>1</v>
      </c>
      <c r="L115" s="19" t="n">
        <f aca="false">IF(COUNTIF(Data_Panel!$A$6:$A$44,B115)=0,"not in panel",IF(A115=Data_Panel!$D$5,SUMIFS(Data_Panel!$D$6:$D$44,Data_Panel!$A$6:$A$44,B115),IF(A115=Data_Panel!$E$5,SUMIFS(Data_Panel!$E$6:$E$44,Data_Panel!$A$6:$A$44,B115),IF(A115=Data_Panel!$F$5,SUMIFS(Data_Panel!$F$6:$F$44,Data_Panel!$A$6:$A$44,B115),IF(A115=Data_Panel!$G$5,SUMIFS(Data_Panel!$G$6:$G$44,Data_Panel!$A$6:$A$44,B115),IF(A115=Data_Panel!$H$5,SUMIFS(Data_Panel!$H$6:$H$44,Data_Panel!$A$6:$A$44,B115),IF(A115=Data_Panel!$I$5,SUMIFS(Data_Panel!$I$6:$I$44,Data_Panel!$A$6:$A$44,B115),IF(A115=Data_Panel!$J$5,SUMIFS(Data_Panel!$J$6:$J$44,Data_Panel!$A$6:$A$44,B115),"period not in panel"))))))))</f>
        <v>-60</v>
      </c>
      <c r="M115" s="20" t="n">
        <f aca="false">IF(L115="not in panel",0,ABS(N(L115)-D115))</f>
        <v>0</v>
      </c>
    </row>
    <row r="116" customFormat="false" ht="15" hidden="false" customHeight="false" outlineLevel="0" collapsed="false">
      <c r="A116" s="6" t="s">
        <v>76</v>
      </c>
      <c r="B116" s="6" t="s">
        <v>158</v>
      </c>
      <c r="C116" s="6" t="s">
        <v>272</v>
      </c>
      <c r="D116" s="18" t="n">
        <v>-140</v>
      </c>
      <c r="E116" s="6" t="s">
        <v>83</v>
      </c>
      <c r="F116" s="6" t="s">
        <v>208</v>
      </c>
      <c r="G116" s="6" t="s">
        <v>209</v>
      </c>
      <c r="H116" s="6"/>
      <c r="I116" s="6" t="s">
        <v>293</v>
      </c>
      <c r="J116" s="6" t="s">
        <v>294</v>
      </c>
      <c r="K116" s="6" t="n">
        <f aca="false">COUNTIFS($A$6:$A$243,A116,$B$6:$B$243,B116)</f>
        <v>1</v>
      </c>
      <c r="L116" s="19" t="n">
        <f aca="false">IF(COUNTIF(Data_Panel!$A$6:$A$44,B116)=0,"not in panel",IF(A116=Data_Panel!$D$5,SUMIFS(Data_Panel!$D$6:$D$44,Data_Panel!$A$6:$A$44,B116),IF(A116=Data_Panel!$E$5,SUMIFS(Data_Panel!$E$6:$E$44,Data_Panel!$A$6:$A$44,B116),IF(A116=Data_Panel!$F$5,SUMIFS(Data_Panel!$F$6:$F$44,Data_Panel!$A$6:$A$44,B116),IF(A116=Data_Panel!$G$5,SUMIFS(Data_Panel!$G$6:$G$44,Data_Panel!$A$6:$A$44,B116),IF(A116=Data_Panel!$H$5,SUMIFS(Data_Panel!$H$6:$H$44,Data_Panel!$A$6:$A$44,B116),IF(A116=Data_Panel!$I$5,SUMIFS(Data_Panel!$I$6:$I$44,Data_Panel!$A$6:$A$44,B116),IF(A116=Data_Panel!$J$5,SUMIFS(Data_Panel!$J$6:$J$44,Data_Panel!$A$6:$A$44,B116),"period not in panel"))))))))</f>
        <v>-140</v>
      </c>
      <c r="M116" s="20" t="n">
        <f aca="false">IF(L116="not in panel",0,ABS(N(L116)-D116))</f>
        <v>0</v>
      </c>
    </row>
    <row r="117" customFormat="false" ht="15" hidden="false" customHeight="false" outlineLevel="0" collapsed="false">
      <c r="A117" s="6" t="s">
        <v>76</v>
      </c>
      <c r="B117" s="6" t="s">
        <v>160</v>
      </c>
      <c r="C117" s="6" t="s">
        <v>273</v>
      </c>
      <c r="D117" s="18" t="n">
        <v>-180</v>
      </c>
      <c r="E117" s="6" t="s">
        <v>83</v>
      </c>
      <c r="F117" s="6" t="s">
        <v>208</v>
      </c>
      <c r="G117" s="6" t="s">
        <v>209</v>
      </c>
      <c r="H117" s="6"/>
      <c r="I117" s="6" t="s">
        <v>293</v>
      </c>
      <c r="J117" s="6" t="s">
        <v>294</v>
      </c>
      <c r="K117" s="6" t="n">
        <f aca="false">COUNTIFS($A$6:$A$243,A117,$B$6:$B$243,B117)</f>
        <v>1</v>
      </c>
      <c r="L117" s="19" t="n">
        <f aca="false">IF(COUNTIF(Data_Panel!$A$6:$A$44,B117)=0,"not in panel",IF(A117=Data_Panel!$D$5,SUMIFS(Data_Panel!$D$6:$D$44,Data_Panel!$A$6:$A$44,B117),IF(A117=Data_Panel!$E$5,SUMIFS(Data_Panel!$E$6:$E$44,Data_Panel!$A$6:$A$44,B117),IF(A117=Data_Panel!$F$5,SUMIFS(Data_Panel!$F$6:$F$44,Data_Panel!$A$6:$A$44,B117),IF(A117=Data_Panel!$G$5,SUMIFS(Data_Panel!$G$6:$G$44,Data_Panel!$A$6:$A$44,B117),IF(A117=Data_Panel!$H$5,SUMIFS(Data_Panel!$H$6:$H$44,Data_Panel!$A$6:$A$44,B117),IF(A117=Data_Panel!$I$5,SUMIFS(Data_Panel!$I$6:$I$44,Data_Panel!$A$6:$A$44,B117),IF(A117=Data_Panel!$J$5,SUMIFS(Data_Panel!$J$6:$J$44,Data_Panel!$A$6:$A$44,B117),"period not in panel"))))))))</f>
        <v>-180</v>
      </c>
      <c r="M117" s="20" t="n">
        <f aca="false">IF(L117="not in panel",0,ABS(N(L117)-D117))</f>
        <v>0</v>
      </c>
    </row>
    <row r="118" customFormat="false" ht="15" hidden="false" customHeight="false" outlineLevel="0" collapsed="false">
      <c r="A118" s="6" t="s">
        <v>76</v>
      </c>
      <c r="B118" s="6" t="s">
        <v>136</v>
      </c>
      <c r="C118" s="6" t="s">
        <v>137</v>
      </c>
      <c r="D118" s="18" t="n">
        <v>2016</v>
      </c>
      <c r="E118" s="6" t="s">
        <v>83</v>
      </c>
      <c r="F118" s="6" t="s">
        <v>208</v>
      </c>
      <c r="G118" s="6" t="s">
        <v>209</v>
      </c>
      <c r="H118" s="6"/>
      <c r="I118" s="6" t="s">
        <v>289</v>
      </c>
      <c r="J118" s="6" t="s">
        <v>252</v>
      </c>
      <c r="K118" s="6" t="n">
        <f aca="false">COUNTIFS($A$6:$A$243,A118,$B$6:$B$243,B118)</f>
        <v>1</v>
      </c>
      <c r="L118" s="19" t="n">
        <f aca="false">IF(COUNTIF(Data_Panel!$A$6:$A$44,B118)=0,"not in panel",IF(A118=Data_Panel!$D$5,SUMIFS(Data_Panel!$D$6:$D$44,Data_Panel!$A$6:$A$44,B118),IF(A118=Data_Panel!$E$5,SUMIFS(Data_Panel!$E$6:$E$44,Data_Panel!$A$6:$A$44,B118),IF(A118=Data_Panel!$F$5,SUMIFS(Data_Panel!$F$6:$F$44,Data_Panel!$A$6:$A$44,B118),IF(A118=Data_Panel!$G$5,SUMIFS(Data_Panel!$G$6:$G$44,Data_Panel!$A$6:$A$44,B118),IF(A118=Data_Panel!$H$5,SUMIFS(Data_Panel!$H$6:$H$44,Data_Panel!$A$6:$A$44,B118),IF(A118=Data_Panel!$I$5,SUMIFS(Data_Panel!$I$6:$I$44,Data_Panel!$A$6:$A$44,B118),IF(A118=Data_Panel!$J$5,SUMIFS(Data_Panel!$J$6:$J$44,Data_Panel!$A$6:$A$44,B118),"period not in panel"))))))))</f>
        <v>2016</v>
      </c>
      <c r="M118" s="20" t="n">
        <f aca="false">IF(L118="not in panel",0,ABS(N(L118)-D118))</f>
        <v>0</v>
      </c>
    </row>
    <row r="119" customFormat="false" ht="15" hidden="false" customHeight="false" outlineLevel="0" collapsed="false">
      <c r="A119" s="6" t="s">
        <v>76</v>
      </c>
      <c r="B119" s="6" t="s">
        <v>138</v>
      </c>
      <c r="C119" s="6" t="s">
        <v>139</v>
      </c>
      <c r="D119" s="18" t="n">
        <v>149</v>
      </c>
      <c r="E119" s="6" t="s">
        <v>83</v>
      </c>
      <c r="F119" s="6" t="s">
        <v>208</v>
      </c>
      <c r="G119" s="6" t="s">
        <v>209</v>
      </c>
      <c r="H119" s="6"/>
      <c r="I119" s="6" t="s">
        <v>289</v>
      </c>
      <c r="J119" s="6" t="s">
        <v>252</v>
      </c>
      <c r="K119" s="6" t="n">
        <f aca="false">COUNTIFS($A$6:$A$243,A119,$B$6:$B$243,B119)</f>
        <v>1</v>
      </c>
      <c r="L119" s="19" t="n">
        <f aca="false">IF(COUNTIF(Data_Panel!$A$6:$A$44,B119)=0,"not in panel",IF(A119=Data_Panel!$D$5,SUMIFS(Data_Panel!$D$6:$D$44,Data_Panel!$A$6:$A$44,B119),IF(A119=Data_Panel!$E$5,SUMIFS(Data_Panel!$E$6:$E$44,Data_Panel!$A$6:$A$44,B119),IF(A119=Data_Panel!$F$5,SUMIFS(Data_Panel!$F$6:$F$44,Data_Panel!$A$6:$A$44,B119),IF(A119=Data_Panel!$G$5,SUMIFS(Data_Panel!$G$6:$G$44,Data_Panel!$A$6:$A$44,B119),IF(A119=Data_Panel!$H$5,SUMIFS(Data_Panel!$H$6:$H$44,Data_Panel!$A$6:$A$44,B119),IF(A119=Data_Panel!$I$5,SUMIFS(Data_Panel!$I$6:$I$44,Data_Panel!$A$6:$A$44,B119),IF(A119=Data_Panel!$J$5,SUMIFS(Data_Panel!$J$6:$J$44,Data_Panel!$A$6:$A$44,B119),"period not in panel"))))))))</f>
        <v>149</v>
      </c>
      <c r="M119" s="20" t="n">
        <f aca="false">IF(L119="not in panel",0,ABS(N(L119)-D119))</f>
        <v>0</v>
      </c>
    </row>
    <row r="120" customFormat="false" ht="15" hidden="false" customHeight="false" outlineLevel="0" collapsed="false">
      <c r="A120" s="6" t="s">
        <v>76</v>
      </c>
      <c r="B120" s="6" t="s">
        <v>81</v>
      </c>
      <c r="C120" s="6" t="s">
        <v>82</v>
      </c>
      <c r="D120" s="18" t="n">
        <v>20626.284337</v>
      </c>
      <c r="E120" s="6" t="s">
        <v>83</v>
      </c>
      <c r="F120" s="6" t="s">
        <v>208</v>
      </c>
      <c r="G120" s="6" t="s">
        <v>209</v>
      </c>
      <c r="H120" s="6"/>
      <c r="I120" s="6" t="s">
        <v>291</v>
      </c>
      <c r="J120" s="6" t="s">
        <v>258</v>
      </c>
      <c r="K120" s="6" t="n">
        <f aca="false">COUNTIFS($A$6:$A$243,A120,$B$6:$B$243,B120)</f>
        <v>1</v>
      </c>
      <c r="L120" s="19" t="n">
        <f aca="false">IF(COUNTIF(Data_Panel!$A$6:$A$44,B120)=0,"not in panel",IF(A120=Data_Panel!$D$5,SUMIFS(Data_Panel!$D$6:$D$44,Data_Panel!$A$6:$A$44,B120),IF(A120=Data_Panel!$E$5,SUMIFS(Data_Panel!$E$6:$E$44,Data_Panel!$A$6:$A$44,B120),IF(A120=Data_Panel!$F$5,SUMIFS(Data_Panel!$F$6:$F$44,Data_Panel!$A$6:$A$44,B120),IF(A120=Data_Panel!$G$5,SUMIFS(Data_Panel!$G$6:$G$44,Data_Panel!$A$6:$A$44,B120),IF(A120=Data_Panel!$H$5,SUMIFS(Data_Panel!$H$6:$H$44,Data_Panel!$A$6:$A$44,B120),IF(A120=Data_Panel!$I$5,SUMIFS(Data_Panel!$I$6:$I$44,Data_Panel!$A$6:$A$44,B120),IF(A120=Data_Panel!$J$5,SUMIFS(Data_Panel!$J$6:$J$44,Data_Panel!$A$6:$A$44,B120),"period not in panel"))))))))</f>
        <v>20626.284337</v>
      </c>
      <c r="M120" s="20" t="n">
        <f aca="false">IF(L120="not in panel",0,ABS(N(L120)-D120))</f>
        <v>0</v>
      </c>
    </row>
    <row r="121" customFormat="false" ht="15" hidden="false" customHeight="false" outlineLevel="0" collapsed="false">
      <c r="A121" s="6" t="s">
        <v>76</v>
      </c>
      <c r="B121" s="6" t="s">
        <v>85</v>
      </c>
      <c r="C121" s="6" t="s">
        <v>86</v>
      </c>
      <c r="D121" s="18" t="n">
        <v>-15504.836769</v>
      </c>
      <c r="E121" s="6" t="s">
        <v>83</v>
      </c>
      <c r="F121" s="6" t="s">
        <v>208</v>
      </c>
      <c r="G121" s="6" t="s">
        <v>209</v>
      </c>
      <c r="H121" s="6"/>
      <c r="I121" s="6" t="s">
        <v>291</v>
      </c>
      <c r="J121" s="6" t="s">
        <v>258</v>
      </c>
      <c r="K121" s="6" t="n">
        <f aca="false">COUNTIFS($A$6:$A$243,A121,$B$6:$B$243,B121)</f>
        <v>1</v>
      </c>
      <c r="L121" s="19" t="n">
        <f aca="false">IF(COUNTIF(Data_Panel!$A$6:$A$44,B121)=0,"not in panel",IF(A121=Data_Panel!$D$5,SUMIFS(Data_Panel!$D$6:$D$44,Data_Panel!$A$6:$A$44,B121),IF(A121=Data_Panel!$E$5,SUMIFS(Data_Panel!$E$6:$E$44,Data_Panel!$A$6:$A$44,B121),IF(A121=Data_Panel!$F$5,SUMIFS(Data_Panel!$F$6:$F$44,Data_Panel!$A$6:$A$44,B121),IF(A121=Data_Panel!$G$5,SUMIFS(Data_Panel!$G$6:$G$44,Data_Panel!$A$6:$A$44,B121),IF(A121=Data_Panel!$H$5,SUMIFS(Data_Panel!$H$6:$H$44,Data_Panel!$A$6:$A$44,B121),IF(A121=Data_Panel!$I$5,SUMIFS(Data_Panel!$I$6:$I$44,Data_Panel!$A$6:$A$44,B121),IF(A121=Data_Panel!$J$5,SUMIFS(Data_Panel!$J$6:$J$44,Data_Panel!$A$6:$A$44,B121),"period not in panel"))))))))</f>
        <v>-15504.836769</v>
      </c>
      <c r="M121" s="20" t="n">
        <f aca="false">IF(L121="not in panel",0,ABS(N(L121)-D121))</f>
        <v>0</v>
      </c>
    </row>
    <row r="122" customFormat="false" ht="15" hidden="false" customHeight="false" outlineLevel="0" collapsed="false">
      <c r="A122" s="6" t="s">
        <v>76</v>
      </c>
      <c r="B122" s="6" t="s">
        <v>87</v>
      </c>
      <c r="C122" s="6" t="s">
        <v>88</v>
      </c>
      <c r="D122" s="18" t="n">
        <v>5121.447568</v>
      </c>
      <c r="E122" s="6" t="s">
        <v>83</v>
      </c>
      <c r="F122" s="6" t="s">
        <v>208</v>
      </c>
      <c r="G122" s="6" t="s">
        <v>209</v>
      </c>
      <c r="H122" s="6"/>
      <c r="I122" s="6" t="s">
        <v>291</v>
      </c>
      <c r="J122" s="6" t="s">
        <v>258</v>
      </c>
      <c r="K122" s="6" t="n">
        <f aca="false">COUNTIFS($A$6:$A$243,A122,$B$6:$B$243,B122)</f>
        <v>1</v>
      </c>
      <c r="L122" s="19" t="n">
        <f aca="false">IF(COUNTIF(Data_Panel!$A$6:$A$44,B122)=0,"not in panel",IF(A122=Data_Panel!$D$5,SUMIFS(Data_Panel!$D$6:$D$44,Data_Panel!$A$6:$A$44,B122),IF(A122=Data_Panel!$E$5,SUMIFS(Data_Panel!$E$6:$E$44,Data_Panel!$A$6:$A$44,B122),IF(A122=Data_Panel!$F$5,SUMIFS(Data_Panel!$F$6:$F$44,Data_Panel!$A$6:$A$44,B122),IF(A122=Data_Panel!$G$5,SUMIFS(Data_Panel!$G$6:$G$44,Data_Panel!$A$6:$A$44,B122),IF(A122=Data_Panel!$H$5,SUMIFS(Data_Panel!$H$6:$H$44,Data_Panel!$A$6:$A$44,B122),IF(A122=Data_Panel!$I$5,SUMIFS(Data_Panel!$I$6:$I$44,Data_Panel!$A$6:$A$44,B122),IF(A122=Data_Panel!$J$5,SUMIFS(Data_Panel!$J$6:$J$44,Data_Panel!$A$6:$A$44,B122),"period not in panel"))))))))</f>
        <v>5121.447568</v>
      </c>
      <c r="M122" s="20" t="n">
        <f aca="false">IF(L122="not in panel",0,ABS(N(L122)-D122))</f>
        <v>0</v>
      </c>
    </row>
    <row r="123" customFormat="false" ht="15" hidden="false" customHeight="false" outlineLevel="0" collapsed="false">
      <c r="A123" s="6" t="s">
        <v>76</v>
      </c>
      <c r="B123" s="6" t="s">
        <v>89</v>
      </c>
      <c r="C123" s="6" t="s">
        <v>90</v>
      </c>
      <c r="D123" s="18" t="n">
        <v>-1720.129296</v>
      </c>
      <c r="E123" s="6" t="s">
        <v>83</v>
      </c>
      <c r="F123" s="6" t="s">
        <v>208</v>
      </c>
      <c r="G123" s="6" t="s">
        <v>209</v>
      </c>
      <c r="H123" s="6"/>
      <c r="I123" s="6" t="s">
        <v>291</v>
      </c>
      <c r="J123" s="6" t="s">
        <v>258</v>
      </c>
      <c r="K123" s="6" t="n">
        <f aca="false">COUNTIFS($A$6:$A$243,A123,$B$6:$B$243,B123)</f>
        <v>1</v>
      </c>
      <c r="L123" s="19" t="n">
        <f aca="false">IF(COUNTIF(Data_Panel!$A$6:$A$44,B123)=0,"not in panel",IF(A123=Data_Panel!$D$5,SUMIFS(Data_Panel!$D$6:$D$44,Data_Panel!$A$6:$A$44,B123),IF(A123=Data_Panel!$E$5,SUMIFS(Data_Panel!$E$6:$E$44,Data_Panel!$A$6:$A$44,B123),IF(A123=Data_Panel!$F$5,SUMIFS(Data_Panel!$F$6:$F$44,Data_Panel!$A$6:$A$44,B123),IF(A123=Data_Panel!$G$5,SUMIFS(Data_Panel!$G$6:$G$44,Data_Panel!$A$6:$A$44,B123),IF(A123=Data_Panel!$H$5,SUMIFS(Data_Panel!$H$6:$H$44,Data_Panel!$A$6:$A$44,B123),IF(A123=Data_Panel!$I$5,SUMIFS(Data_Panel!$I$6:$I$44,Data_Panel!$A$6:$A$44,B123),IF(A123=Data_Panel!$J$5,SUMIFS(Data_Panel!$J$6:$J$44,Data_Panel!$A$6:$A$44,B123),"period not in panel"))))))))</f>
        <v>-1720.129296</v>
      </c>
      <c r="M123" s="20" t="n">
        <f aca="false">IF(L123="not in panel",0,ABS(N(L123)-D123))</f>
        <v>0</v>
      </c>
    </row>
    <row r="124" customFormat="false" ht="15" hidden="false" customHeight="false" outlineLevel="0" collapsed="false">
      <c r="A124" s="6" t="s">
        <v>76</v>
      </c>
      <c r="B124" s="6" t="s">
        <v>91</v>
      </c>
      <c r="C124" s="6" t="s">
        <v>92</v>
      </c>
      <c r="D124" s="18" t="n">
        <v>-907.45239</v>
      </c>
      <c r="E124" s="6" t="s">
        <v>83</v>
      </c>
      <c r="F124" s="6" t="s">
        <v>208</v>
      </c>
      <c r="G124" s="6" t="s">
        <v>209</v>
      </c>
      <c r="H124" s="6"/>
      <c r="I124" s="6" t="s">
        <v>291</v>
      </c>
      <c r="J124" s="6" t="s">
        <v>258</v>
      </c>
      <c r="K124" s="6" t="n">
        <f aca="false">COUNTIFS($A$6:$A$243,A124,$B$6:$B$243,B124)</f>
        <v>1</v>
      </c>
      <c r="L124" s="19" t="n">
        <f aca="false">IF(COUNTIF(Data_Panel!$A$6:$A$44,B124)=0,"not in panel",IF(A124=Data_Panel!$D$5,SUMIFS(Data_Panel!$D$6:$D$44,Data_Panel!$A$6:$A$44,B124),IF(A124=Data_Panel!$E$5,SUMIFS(Data_Panel!$E$6:$E$44,Data_Panel!$A$6:$A$44,B124),IF(A124=Data_Panel!$F$5,SUMIFS(Data_Panel!$F$6:$F$44,Data_Panel!$A$6:$A$44,B124),IF(A124=Data_Panel!$G$5,SUMIFS(Data_Panel!$G$6:$G$44,Data_Panel!$A$6:$A$44,B124),IF(A124=Data_Panel!$H$5,SUMIFS(Data_Panel!$H$6:$H$44,Data_Panel!$A$6:$A$44,B124),IF(A124=Data_Panel!$I$5,SUMIFS(Data_Panel!$I$6:$I$44,Data_Panel!$A$6:$A$44,B124),IF(A124=Data_Panel!$J$5,SUMIFS(Data_Panel!$J$6:$J$44,Data_Panel!$A$6:$A$44,B124),"period not in panel"))))))))</f>
        <v>-907.45239</v>
      </c>
      <c r="M124" s="20" t="n">
        <f aca="false">IF(L124="not in panel",0,ABS(N(L124)-D124))</f>
        <v>0</v>
      </c>
    </row>
    <row r="125" customFormat="false" ht="15" hidden="false" customHeight="false" outlineLevel="0" collapsed="false">
      <c r="A125" s="6" t="s">
        <v>76</v>
      </c>
      <c r="B125" s="6" t="s">
        <v>93</v>
      </c>
      <c r="C125" s="6" t="s">
        <v>94</v>
      </c>
      <c r="D125" s="18" t="n">
        <v>81.571308</v>
      </c>
      <c r="E125" s="6" t="s">
        <v>83</v>
      </c>
      <c r="F125" s="6" t="s">
        <v>208</v>
      </c>
      <c r="G125" s="6" t="s">
        <v>209</v>
      </c>
      <c r="H125" s="6"/>
      <c r="I125" s="6" t="s">
        <v>291</v>
      </c>
      <c r="J125" s="6" t="s">
        <v>258</v>
      </c>
      <c r="K125" s="6" t="n">
        <f aca="false">COUNTIFS($A$6:$A$243,A125,$B$6:$B$243,B125)</f>
        <v>1</v>
      </c>
      <c r="L125" s="19" t="n">
        <f aca="false">IF(COUNTIF(Data_Panel!$A$6:$A$44,B125)=0,"not in panel",IF(A125=Data_Panel!$D$5,SUMIFS(Data_Panel!$D$6:$D$44,Data_Panel!$A$6:$A$44,B125),IF(A125=Data_Panel!$E$5,SUMIFS(Data_Panel!$E$6:$E$44,Data_Panel!$A$6:$A$44,B125),IF(A125=Data_Panel!$F$5,SUMIFS(Data_Panel!$F$6:$F$44,Data_Panel!$A$6:$A$44,B125),IF(A125=Data_Panel!$G$5,SUMIFS(Data_Panel!$G$6:$G$44,Data_Panel!$A$6:$A$44,B125),IF(A125=Data_Panel!$H$5,SUMIFS(Data_Panel!$H$6:$H$44,Data_Panel!$A$6:$A$44,B125),IF(A125=Data_Panel!$I$5,SUMIFS(Data_Panel!$I$6:$I$44,Data_Panel!$A$6:$A$44,B125),IF(A125=Data_Panel!$J$5,SUMIFS(Data_Panel!$J$6:$J$44,Data_Panel!$A$6:$A$44,B125),"period not in panel"))))))))</f>
        <v>81.571308</v>
      </c>
      <c r="M125" s="20" t="n">
        <f aca="false">IF(L125="not in panel",0,ABS(N(L125)-D125))</f>
        <v>0</v>
      </c>
    </row>
    <row r="126" customFormat="false" ht="15" hidden="false" customHeight="false" outlineLevel="0" collapsed="false">
      <c r="A126" s="6" t="s">
        <v>76</v>
      </c>
      <c r="B126" s="6" t="s">
        <v>95</v>
      </c>
      <c r="C126" s="6" t="s">
        <v>230</v>
      </c>
      <c r="D126" s="18" t="n">
        <v>2575.43719</v>
      </c>
      <c r="E126" s="6" t="s">
        <v>83</v>
      </c>
      <c r="F126" s="6" t="s">
        <v>208</v>
      </c>
      <c r="G126" s="6" t="s">
        <v>209</v>
      </c>
      <c r="H126" s="6"/>
      <c r="I126" s="6" t="s">
        <v>291</v>
      </c>
      <c r="J126" s="6" t="s">
        <v>258</v>
      </c>
      <c r="K126" s="6" t="n">
        <f aca="false">COUNTIFS($A$6:$A$243,A126,$B$6:$B$243,B126)</f>
        <v>1</v>
      </c>
      <c r="L126" s="19" t="n">
        <f aca="false">IF(COUNTIF(Data_Panel!$A$6:$A$44,B126)=0,"not in panel",IF(A126=Data_Panel!$D$5,SUMIFS(Data_Panel!$D$6:$D$44,Data_Panel!$A$6:$A$44,B126),IF(A126=Data_Panel!$E$5,SUMIFS(Data_Panel!$E$6:$E$44,Data_Panel!$A$6:$A$44,B126),IF(A126=Data_Panel!$F$5,SUMIFS(Data_Panel!$F$6:$F$44,Data_Panel!$A$6:$A$44,B126),IF(A126=Data_Panel!$G$5,SUMIFS(Data_Panel!$G$6:$G$44,Data_Panel!$A$6:$A$44,B126),IF(A126=Data_Panel!$H$5,SUMIFS(Data_Panel!$H$6:$H$44,Data_Panel!$A$6:$A$44,B126),IF(A126=Data_Panel!$I$5,SUMIFS(Data_Panel!$I$6:$I$44,Data_Panel!$A$6:$A$44,B126),IF(A126=Data_Panel!$J$5,SUMIFS(Data_Panel!$J$6:$J$44,Data_Panel!$A$6:$A$44,B126),"period not in panel"))))))))</f>
        <v>2575.43719</v>
      </c>
      <c r="M126" s="20" t="n">
        <f aca="false">IF(L126="not in panel",0,ABS(N(L126)-D126))</f>
        <v>0</v>
      </c>
    </row>
    <row r="127" customFormat="false" ht="15" hidden="false" customHeight="false" outlineLevel="0" collapsed="false">
      <c r="A127" s="6" t="s">
        <v>76</v>
      </c>
      <c r="B127" s="6" t="s">
        <v>165</v>
      </c>
      <c r="C127" s="6" t="s">
        <v>240</v>
      </c>
      <c r="D127" s="18" t="n">
        <v>154773</v>
      </c>
      <c r="E127" s="6" t="s">
        <v>167</v>
      </c>
      <c r="F127" s="6" t="s">
        <v>208</v>
      </c>
      <c r="G127" s="6" t="s">
        <v>209</v>
      </c>
      <c r="H127" s="6"/>
      <c r="I127" s="6" t="s">
        <v>291</v>
      </c>
      <c r="J127" s="6" t="s">
        <v>260</v>
      </c>
      <c r="K127" s="6" t="n">
        <f aca="false">COUNTIFS($A$6:$A$243,A127,$B$6:$B$243,B127)</f>
        <v>1</v>
      </c>
      <c r="L127" s="19" t="n">
        <f aca="false">IF(COUNTIF(Data_Panel!$A$6:$A$44,B127)=0,"not in panel",IF(A127=Data_Panel!$D$5,SUMIFS(Data_Panel!$D$6:$D$44,Data_Panel!$A$6:$A$44,B127),IF(A127=Data_Panel!$E$5,SUMIFS(Data_Panel!$E$6:$E$44,Data_Panel!$A$6:$A$44,B127),IF(A127=Data_Panel!$F$5,SUMIFS(Data_Panel!$F$6:$F$44,Data_Panel!$A$6:$A$44,B127),IF(A127=Data_Panel!$G$5,SUMIFS(Data_Panel!$G$6:$G$44,Data_Panel!$A$6:$A$44,B127),IF(A127=Data_Panel!$H$5,SUMIFS(Data_Panel!$H$6:$H$44,Data_Panel!$A$6:$A$44,B127),IF(A127=Data_Panel!$I$5,SUMIFS(Data_Panel!$I$6:$I$44,Data_Panel!$A$6:$A$44,B127),IF(A127=Data_Panel!$J$5,SUMIFS(Data_Panel!$J$6:$J$44,Data_Panel!$A$6:$A$44,B127),"period not in panel"))))))))</f>
        <v>154773</v>
      </c>
      <c r="M127" s="20" t="n">
        <f aca="false">IF(L127="not in panel",0,ABS(N(L127)-D127))</f>
        <v>0</v>
      </c>
    </row>
    <row r="128" customFormat="false" ht="15" hidden="false" customHeight="false" outlineLevel="0" collapsed="false">
      <c r="A128" s="6" t="s">
        <v>76</v>
      </c>
      <c r="B128" s="6" t="s">
        <v>168</v>
      </c>
      <c r="C128" s="6" t="s">
        <v>169</v>
      </c>
      <c r="D128" s="18" t="n">
        <v>160676</v>
      </c>
      <c r="E128" s="6" t="s">
        <v>167</v>
      </c>
      <c r="F128" s="6" t="s">
        <v>208</v>
      </c>
      <c r="G128" s="6" t="s">
        <v>209</v>
      </c>
      <c r="H128" s="6"/>
      <c r="I128" s="6" t="s">
        <v>291</v>
      </c>
      <c r="J128" s="6" t="s">
        <v>260</v>
      </c>
      <c r="K128" s="6" t="n">
        <f aca="false">COUNTIFS($A$6:$A$243,A128,$B$6:$B$243,B128)</f>
        <v>1</v>
      </c>
      <c r="L128" s="19" t="n">
        <f aca="false">IF(COUNTIF(Data_Panel!$A$6:$A$44,B128)=0,"not in panel",IF(A128=Data_Panel!$D$5,SUMIFS(Data_Panel!$D$6:$D$44,Data_Panel!$A$6:$A$44,B128),IF(A128=Data_Panel!$E$5,SUMIFS(Data_Panel!$E$6:$E$44,Data_Panel!$A$6:$A$44,B128),IF(A128=Data_Panel!$F$5,SUMIFS(Data_Panel!$F$6:$F$44,Data_Panel!$A$6:$A$44,B128),IF(A128=Data_Panel!$G$5,SUMIFS(Data_Panel!$G$6:$G$44,Data_Panel!$A$6:$A$44,B128),IF(A128=Data_Panel!$H$5,SUMIFS(Data_Panel!$H$6:$H$44,Data_Panel!$A$6:$A$44,B128),IF(A128=Data_Panel!$I$5,SUMIFS(Data_Panel!$I$6:$I$44,Data_Panel!$A$6:$A$44,B128),IF(A128=Data_Panel!$J$5,SUMIFS(Data_Panel!$J$6:$J$44,Data_Panel!$A$6:$A$44,B128),"period not in panel"))))))))</f>
        <v>160676</v>
      </c>
      <c r="M128" s="20" t="n">
        <f aca="false">IF(L128="not in panel",0,ABS(N(L128)-D128))</f>
        <v>0</v>
      </c>
    </row>
    <row r="129" customFormat="false" ht="15" hidden="false" customHeight="false" outlineLevel="0" collapsed="false">
      <c r="A129" s="6" t="s">
        <v>76</v>
      </c>
      <c r="B129" s="6" t="s">
        <v>151</v>
      </c>
      <c r="C129" s="6" t="s">
        <v>249</v>
      </c>
      <c r="D129" s="18" t="n">
        <v>3</v>
      </c>
      <c r="E129" s="6" t="s">
        <v>83</v>
      </c>
      <c r="F129" s="6" t="s">
        <v>208</v>
      </c>
      <c r="G129" s="6" t="s">
        <v>209</v>
      </c>
      <c r="H129" s="6"/>
      <c r="I129" s="6" t="s">
        <v>295</v>
      </c>
      <c r="J129" s="6" t="s">
        <v>252</v>
      </c>
      <c r="K129" s="6" t="n">
        <f aca="false">COUNTIFS($A$6:$A$243,A129,$B$6:$B$243,B129)</f>
        <v>1</v>
      </c>
      <c r="L129" s="19" t="n">
        <f aca="false">IF(COUNTIF(Data_Panel!$A$6:$A$44,B129)=0,"not in panel",IF(A129=Data_Panel!$D$5,SUMIFS(Data_Panel!$D$6:$D$44,Data_Panel!$A$6:$A$44,B129),IF(A129=Data_Panel!$E$5,SUMIFS(Data_Panel!$E$6:$E$44,Data_Panel!$A$6:$A$44,B129),IF(A129=Data_Panel!$F$5,SUMIFS(Data_Panel!$F$6:$F$44,Data_Panel!$A$6:$A$44,B129),IF(A129=Data_Panel!$G$5,SUMIFS(Data_Panel!$G$6:$G$44,Data_Panel!$A$6:$A$44,B129),IF(A129=Data_Panel!$H$5,SUMIFS(Data_Panel!$H$6:$H$44,Data_Panel!$A$6:$A$44,B129),IF(A129=Data_Panel!$I$5,SUMIFS(Data_Panel!$I$6:$I$44,Data_Panel!$A$6:$A$44,B129),IF(A129=Data_Panel!$J$5,SUMIFS(Data_Panel!$J$6:$J$44,Data_Panel!$A$6:$A$44,B129),"period not in panel"))))))))</f>
        <v>3</v>
      </c>
      <c r="M129" s="20" t="n">
        <f aca="false">IF(L129="not in panel",0,ABS(N(L129)-D129))</f>
        <v>0</v>
      </c>
    </row>
    <row r="130" customFormat="false" ht="15" hidden="false" customHeight="false" outlineLevel="0" collapsed="false">
      <c r="A130" s="6" t="s">
        <v>77</v>
      </c>
      <c r="B130" s="6" t="s">
        <v>97</v>
      </c>
      <c r="C130" s="6" t="s">
        <v>98</v>
      </c>
      <c r="D130" s="18" t="n">
        <v>16138</v>
      </c>
      <c r="E130" s="6" t="s">
        <v>83</v>
      </c>
      <c r="F130" s="6" t="s">
        <v>193</v>
      </c>
      <c r="G130" s="6" t="s">
        <v>194</v>
      </c>
      <c r="H130" s="6" t="s">
        <v>296</v>
      </c>
      <c r="I130" s="6" t="s">
        <v>297</v>
      </c>
      <c r="J130" s="6" t="s">
        <v>197</v>
      </c>
      <c r="K130" s="6" t="n">
        <f aca="false">COUNTIFS($A$6:$A$243,A130,$B$6:$B$243,B130)</f>
        <v>1</v>
      </c>
      <c r="L130" s="19" t="n">
        <f aca="false">IF(COUNTIF(Data_Panel!$A$6:$A$44,B130)=0,"not in panel",IF(A130=Data_Panel!$D$5,SUMIFS(Data_Panel!$D$6:$D$44,Data_Panel!$A$6:$A$44,B130),IF(A130=Data_Panel!$E$5,SUMIFS(Data_Panel!$E$6:$E$44,Data_Panel!$A$6:$A$44,B130),IF(A130=Data_Panel!$F$5,SUMIFS(Data_Panel!$F$6:$F$44,Data_Panel!$A$6:$A$44,B130),IF(A130=Data_Panel!$G$5,SUMIFS(Data_Panel!$G$6:$G$44,Data_Panel!$A$6:$A$44,B130),IF(A130=Data_Panel!$H$5,SUMIFS(Data_Panel!$H$6:$H$44,Data_Panel!$A$6:$A$44,B130),IF(A130=Data_Panel!$I$5,SUMIFS(Data_Panel!$I$6:$I$44,Data_Panel!$A$6:$A$44,B130),IF(A130=Data_Panel!$J$5,SUMIFS(Data_Panel!$J$6:$J$44,Data_Panel!$A$6:$A$44,B130),"period not in panel"))))))))</f>
        <v>16138</v>
      </c>
      <c r="M130" s="20" t="n">
        <f aca="false">IF(L130="not in panel",0,ABS(N(L130)-D130))</f>
        <v>0</v>
      </c>
    </row>
    <row r="131" customFormat="false" ht="15" hidden="false" customHeight="false" outlineLevel="0" collapsed="false">
      <c r="A131" s="6" t="s">
        <v>77</v>
      </c>
      <c r="B131" s="6" t="s">
        <v>100</v>
      </c>
      <c r="C131" s="6" t="s">
        <v>101</v>
      </c>
      <c r="D131" s="18" t="n">
        <v>832</v>
      </c>
      <c r="E131" s="6" t="s">
        <v>83</v>
      </c>
      <c r="F131" s="6" t="s">
        <v>193</v>
      </c>
      <c r="G131" s="6" t="s">
        <v>194</v>
      </c>
      <c r="H131" s="6" t="s">
        <v>296</v>
      </c>
      <c r="I131" s="6" t="s">
        <v>297</v>
      </c>
      <c r="J131" s="6" t="s">
        <v>197</v>
      </c>
      <c r="K131" s="6" t="n">
        <f aca="false">COUNTIFS($A$6:$A$243,A131,$B$6:$B$243,B131)</f>
        <v>1</v>
      </c>
      <c r="L131" s="19" t="n">
        <f aca="false">IF(COUNTIF(Data_Panel!$A$6:$A$44,B131)=0,"not in panel",IF(A131=Data_Panel!$D$5,SUMIFS(Data_Panel!$D$6:$D$44,Data_Panel!$A$6:$A$44,B131),IF(A131=Data_Panel!$E$5,SUMIFS(Data_Panel!$E$6:$E$44,Data_Panel!$A$6:$A$44,B131),IF(A131=Data_Panel!$F$5,SUMIFS(Data_Panel!$F$6:$F$44,Data_Panel!$A$6:$A$44,B131),IF(A131=Data_Panel!$G$5,SUMIFS(Data_Panel!$G$6:$G$44,Data_Panel!$A$6:$A$44,B131),IF(A131=Data_Panel!$H$5,SUMIFS(Data_Panel!$H$6:$H$44,Data_Panel!$A$6:$A$44,B131),IF(A131=Data_Panel!$I$5,SUMIFS(Data_Panel!$I$6:$I$44,Data_Panel!$A$6:$A$44,B131),IF(A131=Data_Panel!$J$5,SUMIFS(Data_Panel!$J$6:$J$44,Data_Panel!$A$6:$A$44,B131),"period not in panel"))))))))</f>
        <v>832</v>
      </c>
      <c r="M131" s="20" t="n">
        <f aca="false">IF(L131="not in panel",0,ABS(N(L131)-D131))</f>
        <v>0</v>
      </c>
    </row>
    <row r="132" customFormat="false" ht="15" hidden="false" customHeight="false" outlineLevel="0" collapsed="false">
      <c r="A132" s="6" t="s">
        <v>77</v>
      </c>
      <c r="B132" s="6" t="s">
        <v>102</v>
      </c>
      <c r="C132" s="6" t="s">
        <v>103</v>
      </c>
      <c r="D132" s="18" t="n">
        <v>2588</v>
      </c>
      <c r="E132" s="6" t="s">
        <v>83</v>
      </c>
      <c r="F132" s="6" t="s">
        <v>193</v>
      </c>
      <c r="G132" s="6" t="s">
        <v>194</v>
      </c>
      <c r="H132" s="6" t="s">
        <v>296</v>
      </c>
      <c r="I132" s="6" t="s">
        <v>297</v>
      </c>
      <c r="J132" s="6" t="s">
        <v>197</v>
      </c>
      <c r="K132" s="6" t="n">
        <f aca="false">COUNTIFS($A$6:$A$243,A132,$B$6:$B$243,B132)</f>
        <v>1</v>
      </c>
      <c r="L132" s="19" t="n">
        <f aca="false">IF(COUNTIF(Data_Panel!$A$6:$A$44,B132)=0,"not in panel",IF(A132=Data_Panel!$D$5,SUMIFS(Data_Panel!$D$6:$D$44,Data_Panel!$A$6:$A$44,B132),IF(A132=Data_Panel!$E$5,SUMIFS(Data_Panel!$E$6:$E$44,Data_Panel!$A$6:$A$44,B132),IF(A132=Data_Panel!$F$5,SUMIFS(Data_Panel!$F$6:$F$44,Data_Panel!$A$6:$A$44,B132),IF(A132=Data_Panel!$G$5,SUMIFS(Data_Panel!$G$6:$G$44,Data_Panel!$A$6:$A$44,B132),IF(A132=Data_Panel!$H$5,SUMIFS(Data_Panel!$H$6:$H$44,Data_Panel!$A$6:$A$44,B132),IF(A132=Data_Panel!$I$5,SUMIFS(Data_Panel!$I$6:$I$44,Data_Panel!$A$6:$A$44,B132),IF(A132=Data_Panel!$J$5,SUMIFS(Data_Panel!$J$6:$J$44,Data_Panel!$A$6:$A$44,B132),"period not in panel"))))))))</f>
        <v>2588</v>
      </c>
      <c r="M132" s="20" t="n">
        <f aca="false">IF(L132="not in panel",0,ABS(N(L132)-D132))</f>
        <v>0</v>
      </c>
    </row>
    <row r="133" customFormat="false" ht="15" hidden="false" customHeight="false" outlineLevel="0" collapsed="false">
      <c r="A133" s="6" t="s">
        <v>77</v>
      </c>
      <c r="B133" s="6" t="s">
        <v>104</v>
      </c>
      <c r="C133" s="6" t="s">
        <v>198</v>
      </c>
      <c r="D133" s="18" t="n">
        <v>16</v>
      </c>
      <c r="E133" s="6" t="s">
        <v>106</v>
      </c>
      <c r="F133" s="6" t="s">
        <v>193</v>
      </c>
      <c r="G133" s="6" t="s">
        <v>194</v>
      </c>
      <c r="H133" s="6" t="s">
        <v>296</v>
      </c>
      <c r="I133" s="6" t="s">
        <v>297</v>
      </c>
      <c r="J133" s="6" t="s">
        <v>199</v>
      </c>
      <c r="K133" s="6" t="n">
        <f aca="false">COUNTIFS($A$6:$A$243,A133,$B$6:$B$243,B133)</f>
        <v>1</v>
      </c>
      <c r="L133" s="19" t="n">
        <f aca="false">IF(COUNTIF(Data_Panel!$A$6:$A$44,B133)=0,"not in panel",IF(A133=Data_Panel!$D$5,SUMIFS(Data_Panel!$D$6:$D$44,Data_Panel!$A$6:$A$44,B133),IF(A133=Data_Panel!$E$5,SUMIFS(Data_Panel!$E$6:$E$44,Data_Panel!$A$6:$A$44,B133),IF(A133=Data_Panel!$F$5,SUMIFS(Data_Panel!$F$6:$F$44,Data_Panel!$A$6:$A$44,B133),IF(A133=Data_Panel!$G$5,SUMIFS(Data_Panel!$G$6:$G$44,Data_Panel!$A$6:$A$44,B133),IF(A133=Data_Panel!$H$5,SUMIFS(Data_Panel!$H$6:$H$44,Data_Panel!$A$6:$A$44,B133),IF(A133=Data_Panel!$I$5,SUMIFS(Data_Panel!$I$6:$I$44,Data_Panel!$A$6:$A$44,B133),IF(A133=Data_Panel!$J$5,SUMIFS(Data_Panel!$J$6:$J$44,Data_Panel!$A$6:$A$44,B133),"period not in panel"))))))))</f>
        <v>16</v>
      </c>
      <c r="M133" s="20" t="n">
        <f aca="false">IF(L133="not in panel",0,ABS(N(L133)-D133))</f>
        <v>0</v>
      </c>
    </row>
    <row r="134" customFormat="false" ht="15" hidden="false" customHeight="false" outlineLevel="0" collapsed="false">
      <c r="A134" s="6" t="s">
        <v>77</v>
      </c>
      <c r="B134" s="6" t="s">
        <v>108</v>
      </c>
      <c r="C134" s="6" t="s">
        <v>109</v>
      </c>
      <c r="D134" s="18" t="n">
        <v>1264</v>
      </c>
      <c r="E134" s="6" t="s">
        <v>83</v>
      </c>
      <c r="F134" s="6" t="s">
        <v>193</v>
      </c>
      <c r="G134" s="6" t="s">
        <v>194</v>
      </c>
      <c r="H134" s="6" t="s">
        <v>150</v>
      </c>
      <c r="I134" s="6" t="s">
        <v>263</v>
      </c>
      <c r="J134" s="6" t="s">
        <v>197</v>
      </c>
      <c r="K134" s="6" t="n">
        <f aca="false">COUNTIFS($A$6:$A$243,A134,$B$6:$B$243,B134)</f>
        <v>1</v>
      </c>
      <c r="L134" s="19" t="n">
        <f aca="false">IF(COUNTIF(Data_Panel!$A$6:$A$44,B134)=0,"not in panel",IF(A134=Data_Panel!$D$5,SUMIFS(Data_Panel!$D$6:$D$44,Data_Panel!$A$6:$A$44,B134),IF(A134=Data_Panel!$E$5,SUMIFS(Data_Panel!$E$6:$E$44,Data_Panel!$A$6:$A$44,B134),IF(A134=Data_Panel!$F$5,SUMIFS(Data_Panel!$F$6:$F$44,Data_Panel!$A$6:$A$44,B134),IF(A134=Data_Panel!$G$5,SUMIFS(Data_Panel!$G$6:$G$44,Data_Panel!$A$6:$A$44,B134),IF(A134=Data_Panel!$H$5,SUMIFS(Data_Panel!$H$6:$H$44,Data_Panel!$A$6:$A$44,B134),IF(A134=Data_Panel!$I$5,SUMIFS(Data_Panel!$I$6:$I$44,Data_Panel!$A$6:$A$44,B134),IF(A134=Data_Panel!$J$5,SUMIFS(Data_Panel!$J$6:$J$44,Data_Panel!$A$6:$A$44,B134),"period not in panel"))))))))</f>
        <v>1264</v>
      </c>
      <c r="M134" s="20" t="n">
        <f aca="false">IF(L134="not in panel",0,ABS(N(L134)-D134))</f>
        <v>0</v>
      </c>
    </row>
    <row r="135" customFormat="false" ht="15" hidden="false" customHeight="false" outlineLevel="0" collapsed="false">
      <c r="A135" s="6" t="s">
        <v>77</v>
      </c>
      <c r="B135" s="6" t="s">
        <v>111</v>
      </c>
      <c r="C135" s="6" t="s">
        <v>201</v>
      </c>
      <c r="D135" s="18" t="n">
        <v>575</v>
      </c>
      <c r="E135" s="6" t="s">
        <v>83</v>
      </c>
      <c r="F135" s="6" t="s">
        <v>193</v>
      </c>
      <c r="G135" s="6" t="s">
        <v>194</v>
      </c>
      <c r="H135" s="6" t="s">
        <v>150</v>
      </c>
      <c r="I135" s="6" t="s">
        <v>263</v>
      </c>
      <c r="J135" s="6" t="s">
        <v>197</v>
      </c>
      <c r="K135" s="6" t="n">
        <f aca="false">COUNTIFS($A$6:$A$243,A135,$B$6:$B$243,B135)</f>
        <v>1</v>
      </c>
      <c r="L135" s="19" t="n">
        <f aca="false">IF(COUNTIF(Data_Panel!$A$6:$A$44,B135)=0,"not in panel",IF(A135=Data_Panel!$D$5,SUMIFS(Data_Panel!$D$6:$D$44,Data_Panel!$A$6:$A$44,B135),IF(A135=Data_Panel!$E$5,SUMIFS(Data_Panel!$E$6:$E$44,Data_Panel!$A$6:$A$44,B135),IF(A135=Data_Panel!$F$5,SUMIFS(Data_Panel!$F$6:$F$44,Data_Panel!$A$6:$A$44,B135),IF(A135=Data_Panel!$G$5,SUMIFS(Data_Panel!$G$6:$G$44,Data_Panel!$A$6:$A$44,B135),IF(A135=Data_Panel!$H$5,SUMIFS(Data_Panel!$H$6:$H$44,Data_Panel!$A$6:$A$44,B135),IF(A135=Data_Panel!$I$5,SUMIFS(Data_Panel!$I$6:$I$44,Data_Panel!$A$6:$A$44,B135),IF(A135=Data_Panel!$J$5,SUMIFS(Data_Panel!$J$6:$J$44,Data_Panel!$A$6:$A$44,B135),"period not in panel"))))))))</f>
        <v>575</v>
      </c>
      <c r="M135" s="20" t="n">
        <f aca="false">IF(L135="not in panel",0,ABS(N(L135)-D135))</f>
        <v>0</v>
      </c>
    </row>
    <row r="136" customFormat="false" ht="15" hidden="false" customHeight="false" outlineLevel="0" collapsed="false">
      <c r="A136" s="6" t="s">
        <v>77</v>
      </c>
      <c r="B136" s="6" t="s">
        <v>113</v>
      </c>
      <c r="C136" s="6" t="s">
        <v>202</v>
      </c>
      <c r="D136" s="18" t="n">
        <v>45.5</v>
      </c>
      <c r="E136" s="6" t="s">
        <v>106</v>
      </c>
      <c r="F136" s="6" t="s">
        <v>193</v>
      </c>
      <c r="G136" s="6" t="s">
        <v>194</v>
      </c>
      <c r="H136" s="6" t="s">
        <v>150</v>
      </c>
      <c r="I136" s="6" t="s">
        <v>263</v>
      </c>
      <c r="J136" s="6" t="s">
        <v>199</v>
      </c>
      <c r="K136" s="6" t="n">
        <f aca="false">COUNTIFS($A$6:$A$243,A136,$B$6:$B$243,B136)</f>
        <v>1</v>
      </c>
      <c r="L136" s="19" t="n">
        <f aca="false">IF(COUNTIF(Data_Panel!$A$6:$A$44,B136)=0,"not in panel",IF(A136=Data_Panel!$D$5,SUMIFS(Data_Panel!$D$6:$D$44,Data_Panel!$A$6:$A$44,B136),IF(A136=Data_Panel!$E$5,SUMIFS(Data_Panel!$E$6:$E$44,Data_Panel!$A$6:$A$44,B136),IF(A136=Data_Panel!$F$5,SUMIFS(Data_Panel!$F$6:$F$44,Data_Panel!$A$6:$A$44,B136),IF(A136=Data_Panel!$G$5,SUMIFS(Data_Panel!$G$6:$G$44,Data_Panel!$A$6:$A$44,B136),IF(A136=Data_Panel!$H$5,SUMIFS(Data_Panel!$H$6:$H$44,Data_Panel!$A$6:$A$44,B136),IF(A136=Data_Panel!$I$5,SUMIFS(Data_Panel!$I$6:$I$44,Data_Panel!$A$6:$A$44,B136),IF(A136=Data_Panel!$J$5,SUMIFS(Data_Panel!$J$6:$J$44,Data_Panel!$A$6:$A$44,B136),"period not in panel"))))))))</f>
        <v>45.5</v>
      </c>
      <c r="M136" s="20" t="n">
        <f aca="false">IF(L136="not in panel",0,ABS(N(L136)-D136))</f>
        <v>0</v>
      </c>
    </row>
    <row r="137" customFormat="false" ht="15" hidden="false" customHeight="false" outlineLevel="0" collapsed="false">
      <c r="A137" s="6" t="s">
        <v>77</v>
      </c>
      <c r="B137" s="6" t="s">
        <v>116</v>
      </c>
      <c r="C137" s="6" t="s">
        <v>203</v>
      </c>
      <c r="D137" s="18" t="n">
        <v>690</v>
      </c>
      <c r="E137" s="6" t="s">
        <v>83</v>
      </c>
      <c r="F137" s="6" t="s">
        <v>193</v>
      </c>
      <c r="G137" s="6" t="s">
        <v>194</v>
      </c>
      <c r="H137" s="6" t="s">
        <v>150</v>
      </c>
      <c r="I137" s="6" t="s">
        <v>263</v>
      </c>
      <c r="J137" s="6" t="s">
        <v>197</v>
      </c>
      <c r="K137" s="6" t="n">
        <f aca="false">COUNTIFS($A$6:$A$243,A137,$B$6:$B$243,B137)</f>
        <v>1</v>
      </c>
      <c r="L137" s="19" t="n">
        <f aca="false">IF(COUNTIF(Data_Panel!$A$6:$A$44,B137)=0,"not in panel",IF(A137=Data_Panel!$D$5,SUMIFS(Data_Panel!$D$6:$D$44,Data_Panel!$A$6:$A$44,B137),IF(A137=Data_Panel!$E$5,SUMIFS(Data_Panel!$E$6:$E$44,Data_Panel!$A$6:$A$44,B137),IF(A137=Data_Panel!$F$5,SUMIFS(Data_Panel!$F$6:$F$44,Data_Panel!$A$6:$A$44,B137),IF(A137=Data_Panel!$G$5,SUMIFS(Data_Panel!$G$6:$G$44,Data_Panel!$A$6:$A$44,B137),IF(A137=Data_Panel!$H$5,SUMIFS(Data_Panel!$H$6:$H$44,Data_Panel!$A$6:$A$44,B137),IF(A137=Data_Panel!$I$5,SUMIFS(Data_Panel!$I$6:$I$44,Data_Panel!$A$6:$A$44,B137),IF(A137=Data_Panel!$J$5,SUMIFS(Data_Panel!$J$6:$J$44,Data_Panel!$A$6:$A$44,B137),"period not in panel"))))))))</f>
        <v>690</v>
      </c>
      <c r="M137" s="20" t="n">
        <f aca="false">IF(L137="not in panel",0,ABS(N(L137)-D137))</f>
        <v>0</v>
      </c>
    </row>
    <row r="138" customFormat="false" ht="15" hidden="false" customHeight="false" outlineLevel="0" collapsed="false">
      <c r="A138" s="6" t="s">
        <v>77</v>
      </c>
      <c r="B138" s="6" t="s">
        <v>119</v>
      </c>
      <c r="C138" s="6" t="s">
        <v>120</v>
      </c>
      <c r="D138" s="18" t="n">
        <v>600</v>
      </c>
      <c r="E138" s="6" t="s">
        <v>83</v>
      </c>
      <c r="F138" s="6" t="s">
        <v>193</v>
      </c>
      <c r="G138" s="6" t="s">
        <v>194</v>
      </c>
      <c r="H138" s="6" t="s">
        <v>150</v>
      </c>
      <c r="I138" s="6" t="s">
        <v>263</v>
      </c>
      <c r="J138" s="6" t="s">
        <v>197</v>
      </c>
      <c r="K138" s="6" t="n">
        <f aca="false">COUNTIFS($A$6:$A$243,A138,$B$6:$B$243,B138)</f>
        <v>1</v>
      </c>
      <c r="L138" s="19" t="n">
        <f aca="false">IF(COUNTIF(Data_Panel!$A$6:$A$44,B138)=0,"not in panel",IF(A138=Data_Panel!$D$5,SUMIFS(Data_Panel!$D$6:$D$44,Data_Panel!$A$6:$A$44,B138),IF(A138=Data_Panel!$E$5,SUMIFS(Data_Panel!$E$6:$E$44,Data_Panel!$A$6:$A$44,B138),IF(A138=Data_Panel!$F$5,SUMIFS(Data_Panel!$F$6:$F$44,Data_Panel!$A$6:$A$44,B138),IF(A138=Data_Panel!$G$5,SUMIFS(Data_Panel!$G$6:$G$44,Data_Panel!$A$6:$A$44,B138),IF(A138=Data_Panel!$H$5,SUMIFS(Data_Panel!$H$6:$H$44,Data_Panel!$A$6:$A$44,B138),IF(A138=Data_Panel!$I$5,SUMIFS(Data_Panel!$I$6:$I$44,Data_Panel!$A$6:$A$44,B138),IF(A138=Data_Panel!$J$5,SUMIFS(Data_Panel!$J$6:$J$44,Data_Panel!$A$6:$A$44,B138),"period not in panel"))))))))</f>
        <v>600</v>
      </c>
      <c r="M138" s="20" t="n">
        <f aca="false">IF(L138="not in panel",0,ABS(N(L138)-D138))</f>
        <v>0</v>
      </c>
    </row>
    <row r="139" customFormat="false" ht="15" hidden="false" customHeight="false" outlineLevel="0" collapsed="false">
      <c r="A139" s="6" t="s">
        <v>77</v>
      </c>
      <c r="B139" s="6" t="s">
        <v>121</v>
      </c>
      <c r="C139" s="6" t="s">
        <v>122</v>
      </c>
      <c r="D139" s="18" t="n">
        <v>965</v>
      </c>
      <c r="E139" s="6" t="s">
        <v>83</v>
      </c>
      <c r="F139" s="6" t="s">
        <v>193</v>
      </c>
      <c r="G139" s="6" t="s">
        <v>194</v>
      </c>
      <c r="H139" s="6" t="s">
        <v>150</v>
      </c>
      <c r="I139" s="6" t="s">
        <v>263</v>
      </c>
      <c r="J139" s="6" t="s">
        <v>197</v>
      </c>
      <c r="K139" s="6" t="n">
        <f aca="false">COUNTIFS($A$6:$A$243,A139,$B$6:$B$243,B139)</f>
        <v>1</v>
      </c>
      <c r="L139" s="19" t="n">
        <f aca="false">IF(COUNTIF(Data_Panel!$A$6:$A$44,B139)=0,"not in panel",IF(A139=Data_Panel!$D$5,SUMIFS(Data_Panel!$D$6:$D$44,Data_Panel!$A$6:$A$44,B139),IF(A139=Data_Panel!$E$5,SUMIFS(Data_Panel!$E$6:$E$44,Data_Panel!$A$6:$A$44,B139),IF(A139=Data_Panel!$F$5,SUMIFS(Data_Panel!$F$6:$F$44,Data_Panel!$A$6:$A$44,B139),IF(A139=Data_Panel!$G$5,SUMIFS(Data_Panel!$G$6:$G$44,Data_Panel!$A$6:$A$44,B139),IF(A139=Data_Panel!$H$5,SUMIFS(Data_Panel!$H$6:$H$44,Data_Panel!$A$6:$A$44,B139),IF(A139=Data_Panel!$I$5,SUMIFS(Data_Panel!$I$6:$I$44,Data_Panel!$A$6:$A$44,B139),IF(A139=Data_Panel!$J$5,SUMIFS(Data_Panel!$J$6:$J$44,Data_Panel!$A$6:$A$44,B139),"period not in panel"))))))))</f>
        <v>965</v>
      </c>
      <c r="M139" s="20" t="n">
        <f aca="false">IF(L139="not in panel",0,ABS(N(L139)-D139))</f>
        <v>0</v>
      </c>
    </row>
    <row r="140" customFormat="false" ht="15" hidden="false" customHeight="false" outlineLevel="0" collapsed="false">
      <c r="A140" s="6" t="s">
        <v>77</v>
      </c>
      <c r="B140" s="6" t="s">
        <v>123</v>
      </c>
      <c r="C140" s="6" t="s">
        <v>207</v>
      </c>
      <c r="D140" s="18" t="n">
        <v>1156</v>
      </c>
      <c r="E140" s="6" t="s">
        <v>83</v>
      </c>
      <c r="F140" s="6" t="s">
        <v>193</v>
      </c>
      <c r="G140" s="6" t="s">
        <v>194</v>
      </c>
      <c r="H140" s="6" t="s">
        <v>150</v>
      </c>
      <c r="I140" s="6" t="s">
        <v>263</v>
      </c>
      <c r="J140" s="6" t="s">
        <v>197</v>
      </c>
      <c r="K140" s="6" t="n">
        <f aca="false">COUNTIFS($A$6:$A$243,A140,$B$6:$B$243,B140)</f>
        <v>1</v>
      </c>
      <c r="L140" s="19" t="n">
        <f aca="false">IF(COUNTIF(Data_Panel!$A$6:$A$44,B140)=0,"not in panel",IF(A140=Data_Panel!$D$5,SUMIFS(Data_Panel!$D$6:$D$44,Data_Panel!$A$6:$A$44,B140),IF(A140=Data_Panel!$E$5,SUMIFS(Data_Panel!$E$6:$E$44,Data_Panel!$A$6:$A$44,B140),IF(A140=Data_Panel!$F$5,SUMIFS(Data_Panel!$F$6:$F$44,Data_Panel!$A$6:$A$44,B140),IF(A140=Data_Panel!$G$5,SUMIFS(Data_Panel!$G$6:$G$44,Data_Panel!$A$6:$A$44,B140),IF(A140=Data_Panel!$H$5,SUMIFS(Data_Panel!$H$6:$H$44,Data_Panel!$A$6:$A$44,B140),IF(A140=Data_Panel!$I$5,SUMIFS(Data_Panel!$I$6:$I$44,Data_Panel!$A$6:$A$44,B140),IF(A140=Data_Panel!$J$5,SUMIFS(Data_Panel!$J$6:$J$44,Data_Panel!$A$6:$A$44,B140),"period not in panel"))))))))</f>
        <v>1156</v>
      </c>
      <c r="M140" s="20" t="n">
        <f aca="false">IF(L140="not in panel",0,ABS(N(L140)-D140))</f>
        <v>0</v>
      </c>
    </row>
    <row r="141" customFormat="false" ht="15" hidden="false" customHeight="false" outlineLevel="0" collapsed="false">
      <c r="A141" s="6" t="s">
        <v>77</v>
      </c>
      <c r="B141" s="6" t="s">
        <v>126</v>
      </c>
      <c r="C141" s="6" t="s">
        <v>212</v>
      </c>
      <c r="D141" s="18" t="n">
        <v>1756</v>
      </c>
      <c r="E141" s="6" t="s">
        <v>83</v>
      </c>
      <c r="F141" s="6" t="s">
        <v>193</v>
      </c>
      <c r="G141" s="6" t="s">
        <v>194</v>
      </c>
      <c r="H141" s="6" t="s">
        <v>150</v>
      </c>
      <c r="I141" s="6" t="s">
        <v>263</v>
      </c>
      <c r="J141" s="6" t="s">
        <v>197</v>
      </c>
      <c r="K141" s="6" t="n">
        <f aca="false">COUNTIFS($A$6:$A$243,A141,$B$6:$B$243,B141)</f>
        <v>1</v>
      </c>
      <c r="L141" s="19" t="n">
        <f aca="false">IF(COUNTIF(Data_Panel!$A$6:$A$44,B141)=0,"not in panel",IF(A141=Data_Panel!$D$5,SUMIFS(Data_Panel!$D$6:$D$44,Data_Panel!$A$6:$A$44,B141),IF(A141=Data_Panel!$E$5,SUMIFS(Data_Panel!$E$6:$E$44,Data_Panel!$A$6:$A$44,B141),IF(A141=Data_Panel!$F$5,SUMIFS(Data_Panel!$F$6:$F$44,Data_Panel!$A$6:$A$44,B141),IF(A141=Data_Panel!$G$5,SUMIFS(Data_Panel!$G$6:$G$44,Data_Panel!$A$6:$A$44,B141),IF(A141=Data_Panel!$H$5,SUMIFS(Data_Panel!$H$6:$H$44,Data_Panel!$A$6:$A$44,B141),IF(A141=Data_Panel!$I$5,SUMIFS(Data_Panel!$I$6:$I$44,Data_Panel!$A$6:$A$44,B141),IF(A141=Data_Panel!$J$5,SUMIFS(Data_Panel!$J$6:$J$44,Data_Panel!$A$6:$A$44,B141),"period not in panel"))))))))</f>
        <v>1756</v>
      </c>
      <c r="M141" s="20" t="n">
        <f aca="false">IF(L141="not in panel",0,ABS(N(L141)-D141))</f>
        <v>0</v>
      </c>
    </row>
    <row r="142" customFormat="false" ht="15" hidden="false" customHeight="false" outlineLevel="0" collapsed="false">
      <c r="A142" s="6" t="s">
        <v>77</v>
      </c>
      <c r="B142" s="6" t="s">
        <v>132</v>
      </c>
      <c r="C142" s="6" t="s">
        <v>133</v>
      </c>
      <c r="D142" s="18" t="n">
        <v>393.99427</v>
      </c>
      <c r="E142" s="6" t="s">
        <v>83</v>
      </c>
      <c r="F142" s="6" t="s">
        <v>193</v>
      </c>
      <c r="G142" s="6" t="s">
        <v>213</v>
      </c>
      <c r="H142" s="6" t="s">
        <v>214</v>
      </c>
      <c r="I142" s="6" t="s">
        <v>298</v>
      </c>
      <c r="J142" s="6" t="s">
        <v>216</v>
      </c>
      <c r="K142" s="6" t="n">
        <f aca="false">COUNTIFS($A$6:$A$243,A142,$B$6:$B$243,B142)</f>
        <v>1</v>
      </c>
      <c r="L142" s="19" t="n">
        <f aca="false">IF(COUNTIF(Data_Panel!$A$6:$A$44,B142)=0,"not in panel",IF(A142=Data_Panel!$D$5,SUMIFS(Data_Panel!$D$6:$D$44,Data_Panel!$A$6:$A$44,B142),IF(A142=Data_Panel!$E$5,SUMIFS(Data_Panel!$E$6:$E$44,Data_Panel!$A$6:$A$44,B142),IF(A142=Data_Panel!$F$5,SUMIFS(Data_Panel!$F$6:$F$44,Data_Panel!$A$6:$A$44,B142),IF(A142=Data_Panel!$G$5,SUMIFS(Data_Panel!$G$6:$G$44,Data_Panel!$A$6:$A$44,B142),IF(A142=Data_Panel!$H$5,SUMIFS(Data_Panel!$H$6:$H$44,Data_Panel!$A$6:$A$44,B142),IF(A142=Data_Panel!$I$5,SUMIFS(Data_Panel!$I$6:$I$44,Data_Panel!$A$6:$A$44,B142),IF(A142=Data_Panel!$J$5,SUMIFS(Data_Panel!$J$6:$J$44,Data_Panel!$A$6:$A$44,B142),"period not in panel"))))))))</f>
        <v>393.99427</v>
      </c>
      <c r="M142" s="20" t="n">
        <f aca="false">IF(L142="not in panel",0,ABS(N(L142)-D142))</f>
        <v>0</v>
      </c>
    </row>
    <row r="143" customFormat="false" ht="15" hidden="false" customHeight="false" outlineLevel="0" collapsed="false">
      <c r="A143" s="6" t="s">
        <v>77</v>
      </c>
      <c r="B143" s="6" t="s">
        <v>128</v>
      </c>
      <c r="C143" s="6" t="s">
        <v>217</v>
      </c>
      <c r="D143" s="18" t="n">
        <v>2017.886965</v>
      </c>
      <c r="E143" s="6" t="s">
        <v>83</v>
      </c>
      <c r="F143" s="6" t="s">
        <v>193</v>
      </c>
      <c r="G143" s="6" t="s">
        <v>213</v>
      </c>
      <c r="H143" s="6" t="s">
        <v>214</v>
      </c>
      <c r="I143" s="6" t="s">
        <v>299</v>
      </c>
      <c r="J143" s="6" t="s">
        <v>216</v>
      </c>
      <c r="K143" s="6" t="n">
        <f aca="false">COUNTIFS($A$6:$A$243,A143,$B$6:$B$243,B143)</f>
        <v>1</v>
      </c>
      <c r="L143" s="19" t="n">
        <f aca="false">IF(COUNTIF(Data_Panel!$A$6:$A$44,B143)=0,"not in panel",IF(A143=Data_Panel!$D$5,SUMIFS(Data_Panel!$D$6:$D$44,Data_Panel!$A$6:$A$44,B143),IF(A143=Data_Panel!$E$5,SUMIFS(Data_Panel!$E$6:$E$44,Data_Panel!$A$6:$A$44,B143),IF(A143=Data_Panel!$F$5,SUMIFS(Data_Panel!$F$6:$F$44,Data_Panel!$A$6:$A$44,B143),IF(A143=Data_Panel!$G$5,SUMIFS(Data_Panel!$G$6:$G$44,Data_Panel!$A$6:$A$44,B143),IF(A143=Data_Panel!$H$5,SUMIFS(Data_Panel!$H$6:$H$44,Data_Panel!$A$6:$A$44,B143),IF(A143=Data_Panel!$I$5,SUMIFS(Data_Panel!$I$6:$I$44,Data_Panel!$A$6:$A$44,B143),IF(A143=Data_Panel!$J$5,SUMIFS(Data_Panel!$J$6:$J$44,Data_Panel!$A$6:$A$44,B143),"period not in panel"))))))))</f>
        <v>2017.886965</v>
      </c>
      <c r="M143" s="20" t="n">
        <f aca="false">IF(L143="not in panel",0,ABS(N(L143)-D143))</f>
        <v>0</v>
      </c>
    </row>
    <row r="144" customFormat="false" ht="15" hidden="false" customHeight="false" outlineLevel="0" collapsed="false">
      <c r="A144" s="6" t="s">
        <v>77</v>
      </c>
      <c r="B144" s="6" t="s">
        <v>130</v>
      </c>
      <c r="C144" s="6" t="s">
        <v>219</v>
      </c>
      <c r="D144" s="18" t="n">
        <v>-1623.892695</v>
      </c>
      <c r="E144" s="6" t="s">
        <v>83</v>
      </c>
      <c r="F144" s="6" t="s">
        <v>193</v>
      </c>
      <c r="G144" s="6" t="s">
        <v>213</v>
      </c>
      <c r="H144" s="6" t="s">
        <v>214</v>
      </c>
      <c r="I144" s="6" t="s">
        <v>300</v>
      </c>
      <c r="J144" s="6" t="s">
        <v>216</v>
      </c>
      <c r="K144" s="6" t="n">
        <f aca="false">COUNTIFS($A$6:$A$243,A144,$B$6:$B$243,B144)</f>
        <v>1</v>
      </c>
      <c r="L144" s="19" t="n">
        <f aca="false">IF(COUNTIF(Data_Panel!$A$6:$A$44,B144)=0,"not in panel",IF(A144=Data_Panel!$D$5,SUMIFS(Data_Panel!$D$6:$D$44,Data_Panel!$A$6:$A$44,B144),IF(A144=Data_Panel!$E$5,SUMIFS(Data_Panel!$E$6:$E$44,Data_Panel!$A$6:$A$44,B144),IF(A144=Data_Panel!$F$5,SUMIFS(Data_Panel!$F$6:$F$44,Data_Panel!$A$6:$A$44,B144),IF(A144=Data_Panel!$G$5,SUMIFS(Data_Panel!$G$6:$G$44,Data_Panel!$A$6:$A$44,B144),IF(A144=Data_Panel!$H$5,SUMIFS(Data_Panel!$H$6:$H$44,Data_Panel!$A$6:$A$44,B144),IF(A144=Data_Panel!$I$5,SUMIFS(Data_Panel!$I$6:$I$44,Data_Panel!$A$6:$A$44,B144),IF(A144=Data_Panel!$J$5,SUMIFS(Data_Panel!$J$6:$J$44,Data_Panel!$A$6:$A$44,B144),"period not in panel"))))))))</f>
        <v>-1623.892695</v>
      </c>
      <c r="M144" s="20" t="n">
        <f aca="false">IF(L144="not in panel",0,ABS(N(L144)-D144))</f>
        <v>0</v>
      </c>
    </row>
    <row r="145" customFormat="false" ht="15" hidden="false" customHeight="false" outlineLevel="0" collapsed="false">
      <c r="A145" s="6" t="s">
        <v>77</v>
      </c>
      <c r="B145" s="6" t="s">
        <v>134</v>
      </c>
      <c r="C145" s="6" t="s">
        <v>221</v>
      </c>
      <c r="D145" s="18" t="n">
        <v>6167.235104</v>
      </c>
      <c r="E145" s="6" t="s">
        <v>83</v>
      </c>
      <c r="F145" s="6" t="s">
        <v>193</v>
      </c>
      <c r="G145" s="6" t="s">
        <v>213</v>
      </c>
      <c r="H145" s="6" t="s">
        <v>214</v>
      </c>
      <c r="I145" s="6" t="s">
        <v>301</v>
      </c>
      <c r="J145" s="6" t="s">
        <v>216</v>
      </c>
      <c r="K145" s="6" t="n">
        <f aca="false">COUNTIFS($A$6:$A$243,A145,$B$6:$B$243,B145)</f>
        <v>1</v>
      </c>
      <c r="L145" s="19" t="n">
        <f aca="false">IF(COUNTIF(Data_Panel!$A$6:$A$44,B145)=0,"not in panel",IF(A145=Data_Panel!$D$5,SUMIFS(Data_Panel!$D$6:$D$44,Data_Panel!$A$6:$A$44,B145),IF(A145=Data_Panel!$E$5,SUMIFS(Data_Panel!$E$6:$E$44,Data_Panel!$A$6:$A$44,B145),IF(A145=Data_Panel!$F$5,SUMIFS(Data_Panel!$F$6:$F$44,Data_Panel!$A$6:$A$44,B145),IF(A145=Data_Panel!$G$5,SUMIFS(Data_Panel!$G$6:$G$44,Data_Panel!$A$6:$A$44,B145),IF(A145=Data_Panel!$H$5,SUMIFS(Data_Panel!$H$6:$H$44,Data_Panel!$A$6:$A$44,B145),IF(A145=Data_Panel!$I$5,SUMIFS(Data_Panel!$I$6:$I$44,Data_Panel!$A$6:$A$44,B145),IF(A145=Data_Panel!$J$5,SUMIFS(Data_Panel!$J$6:$J$44,Data_Panel!$A$6:$A$44,B145),"period not in panel"))))))))</f>
        <v>6167.235104</v>
      </c>
      <c r="M145" s="20" t="n">
        <f aca="false">IF(L145="not in panel",0,ABS(N(L145)-D145))</f>
        <v>0</v>
      </c>
    </row>
    <row r="146" customFormat="false" ht="15" hidden="false" customHeight="false" outlineLevel="0" collapsed="false">
      <c r="A146" s="6" t="s">
        <v>77</v>
      </c>
      <c r="B146" s="6" t="s">
        <v>153</v>
      </c>
      <c r="C146" s="6" t="s">
        <v>268</v>
      </c>
      <c r="D146" s="18" t="n">
        <v>-1620</v>
      </c>
      <c r="E146" s="6" t="s">
        <v>83</v>
      </c>
      <c r="F146" s="6" t="s">
        <v>193</v>
      </c>
      <c r="G146" s="6" t="s">
        <v>194</v>
      </c>
      <c r="H146" s="6" t="s">
        <v>285</v>
      </c>
      <c r="I146" s="6" t="s">
        <v>302</v>
      </c>
      <c r="J146" s="6" t="s">
        <v>270</v>
      </c>
      <c r="K146" s="6" t="n">
        <f aca="false">COUNTIFS($A$6:$A$243,A146,$B$6:$B$243,B146)</f>
        <v>1</v>
      </c>
      <c r="L146" s="19" t="n">
        <f aca="false">IF(COUNTIF(Data_Panel!$A$6:$A$44,B146)=0,"not in panel",IF(A146=Data_Panel!$D$5,SUMIFS(Data_Panel!$D$6:$D$44,Data_Panel!$A$6:$A$44,B146),IF(A146=Data_Panel!$E$5,SUMIFS(Data_Panel!$E$6:$E$44,Data_Panel!$A$6:$A$44,B146),IF(A146=Data_Panel!$F$5,SUMIFS(Data_Panel!$F$6:$F$44,Data_Panel!$A$6:$A$44,B146),IF(A146=Data_Panel!$G$5,SUMIFS(Data_Panel!$G$6:$G$44,Data_Panel!$A$6:$A$44,B146),IF(A146=Data_Panel!$H$5,SUMIFS(Data_Panel!$H$6:$H$44,Data_Panel!$A$6:$A$44,B146),IF(A146=Data_Panel!$I$5,SUMIFS(Data_Panel!$I$6:$I$44,Data_Panel!$A$6:$A$44,B146),IF(A146=Data_Panel!$J$5,SUMIFS(Data_Panel!$J$6:$J$44,Data_Panel!$A$6:$A$44,B146),"period not in panel"))))))))</f>
        <v>-1620</v>
      </c>
      <c r="M146" s="20" t="n">
        <f aca="false">IF(L146="not in panel",0,ABS(N(L146)-D146))</f>
        <v>0</v>
      </c>
    </row>
    <row r="147" customFormat="false" ht="15" hidden="false" customHeight="false" outlineLevel="0" collapsed="false">
      <c r="A147" s="6" t="s">
        <v>77</v>
      </c>
      <c r="B147" s="6" t="s">
        <v>156</v>
      </c>
      <c r="C147" s="6" t="s">
        <v>271</v>
      </c>
      <c r="D147" s="18" t="n">
        <v>-220</v>
      </c>
      <c r="E147" s="6" t="s">
        <v>83</v>
      </c>
      <c r="F147" s="6" t="s">
        <v>193</v>
      </c>
      <c r="G147" s="6" t="s">
        <v>194</v>
      </c>
      <c r="H147" s="6" t="s">
        <v>285</v>
      </c>
      <c r="I147" s="6" t="s">
        <v>302</v>
      </c>
      <c r="J147" s="6" t="s">
        <v>270</v>
      </c>
      <c r="K147" s="6" t="n">
        <f aca="false">COUNTIFS($A$6:$A$243,A147,$B$6:$B$243,B147)</f>
        <v>1</v>
      </c>
      <c r="L147" s="19" t="n">
        <f aca="false">IF(COUNTIF(Data_Panel!$A$6:$A$44,B147)=0,"not in panel",IF(A147=Data_Panel!$D$5,SUMIFS(Data_Panel!$D$6:$D$44,Data_Panel!$A$6:$A$44,B147),IF(A147=Data_Panel!$E$5,SUMIFS(Data_Panel!$E$6:$E$44,Data_Panel!$A$6:$A$44,B147),IF(A147=Data_Panel!$F$5,SUMIFS(Data_Panel!$F$6:$F$44,Data_Panel!$A$6:$A$44,B147),IF(A147=Data_Panel!$G$5,SUMIFS(Data_Panel!$G$6:$G$44,Data_Panel!$A$6:$A$44,B147),IF(A147=Data_Panel!$H$5,SUMIFS(Data_Panel!$H$6:$H$44,Data_Panel!$A$6:$A$44,B147),IF(A147=Data_Panel!$I$5,SUMIFS(Data_Panel!$I$6:$I$44,Data_Panel!$A$6:$A$44,B147),IF(A147=Data_Panel!$J$5,SUMIFS(Data_Panel!$J$6:$J$44,Data_Panel!$A$6:$A$44,B147),"period not in panel"))))))))</f>
        <v>-220</v>
      </c>
      <c r="M147" s="20" t="n">
        <f aca="false">IF(L147="not in panel",0,ABS(N(L147)-D147))</f>
        <v>0</v>
      </c>
    </row>
    <row r="148" customFormat="false" ht="15" hidden="false" customHeight="false" outlineLevel="0" collapsed="false">
      <c r="A148" s="6" t="s">
        <v>77</v>
      </c>
      <c r="B148" s="6" t="s">
        <v>158</v>
      </c>
      <c r="C148" s="6" t="s">
        <v>272</v>
      </c>
      <c r="D148" s="18" t="n">
        <v>40</v>
      </c>
      <c r="E148" s="6" t="s">
        <v>83</v>
      </c>
      <c r="F148" s="6" t="s">
        <v>193</v>
      </c>
      <c r="G148" s="6" t="s">
        <v>194</v>
      </c>
      <c r="H148" s="6" t="s">
        <v>285</v>
      </c>
      <c r="I148" s="6" t="s">
        <v>302</v>
      </c>
      <c r="J148" s="6" t="s">
        <v>270</v>
      </c>
      <c r="K148" s="6" t="n">
        <f aca="false">COUNTIFS($A$6:$A$243,A148,$B$6:$B$243,B148)</f>
        <v>1</v>
      </c>
      <c r="L148" s="19" t="n">
        <f aca="false">IF(COUNTIF(Data_Panel!$A$6:$A$44,B148)=0,"not in panel",IF(A148=Data_Panel!$D$5,SUMIFS(Data_Panel!$D$6:$D$44,Data_Panel!$A$6:$A$44,B148),IF(A148=Data_Panel!$E$5,SUMIFS(Data_Panel!$E$6:$E$44,Data_Panel!$A$6:$A$44,B148),IF(A148=Data_Panel!$F$5,SUMIFS(Data_Panel!$F$6:$F$44,Data_Panel!$A$6:$A$44,B148),IF(A148=Data_Panel!$G$5,SUMIFS(Data_Panel!$G$6:$G$44,Data_Panel!$A$6:$A$44,B148),IF(A148=Data_Panel!$H$5,SUMIFS(Data_Panel!$H$6:$H$44,Data_Panel!$A$6:$A$44,B148),IF(A148=Data_Panel!$I$5,SUMIFS(Data_Panel!$I$6:$I$44,Data_Panel!$A$6:$A$44,B148),IF(A148=Data_Panel!$J$5,SUMIFS(Data_Panel!$J$6:$J$44,Data_Panel!$A$6:$A$44,B148),"period not in panel"))))))))</f>
        <v>40</v>
      </c>
      <c r="M148" s="20" t="n">
        <f aca="false">IF(L148="not in panel",0,ABS(N(L148)-D148))</f>
        <v>0</v>
      </c>
    </row>
    <row r="149" customFormat="false" ht="15" hidden="false" customHeight="false" outlineLevel="0" collapsed="false">
      <c r="A149" s="6" t="s">
        <v>77</v>
      </c>
      <c r="B149" s="6" t="s">
        <v>160</v>
      </c>
      <c r="C149" s="6" t="s">
        <v>273</v>
      </c>
      <c r="D149" s="18" t="n">
        <v>-260</v>
      </c>
      <c r="E149" s="6" t="s">
        <v>83</v>
      </c>
      <c r="F149" s="6" t="s">
        <v>193</v>
      </c>
      <c r="G149" s="6" t="s">
        <v>194</v>
      </c>
      <c r="H149" s="6" t="s">
        <v>285</v>
      </c>
      <c r="I149" s="6" t="s">
        <v>302</v>
      </c>
      <c r="J149" s="6" t="s">
        <v>270</v>
      </c>
      <c r="K149" s="6" t="n">
        <f aca="false">COUNTIFS($A$6:$A$243,A149,$B$6:$B$243,B149)</f>
        <v>1</v>
      </c>
      <c r="L149" s="19" t="n">
        <f aca="false">IF(COUNTIF(Data_Panel!$A$6:$A$44,B149)=0,"not in panel",IF(A149=Data_Panel!$D$5,SUMIFS(Data_Panel!$D$6:$D$44,Data_Panel!$A$6:$A$44,B149),IF(A149=Data_Panel!$E$5,SUMIFS(Data_Panel!$E$6:$E$44,Data_Panel!$A$6:$A$44,B149),IF(A149=Data_Panel!$F$5,SUMIFS(Data_Panel!$F$6:$F$44,Data_Panel!$A$6:$A$44,B149),IF(A149=Data_Panel!$G$5,SUMIFS(Data_Panel!$G$6:$G$44,Data_Panel!$A$6:$A$44,B149),IF(A149=Data_Panel!$H$5,SUMIFS(Data_Panel!$H$6:$H$44,Data_Panel!$A$6:$A$44,B149),IF(A149=Data_Panel!$I$5,SUMIFS(Data_Panel!$I$6:$I$44,Data_Panel!$A$6:$A$44,B149),IF(A149=Data_Panel!$J$5,SUMIFS(Data_Panel!$J$6:$J$44,Data_Panel!$A$6:$A$44,B149),"period not in panel"))))))))</f>
        <v>-260</v>
      </c>
      <c r="M149" s="20" t="n">
        <f aca="false">IF(L149="not in panel",0,ABS(N(L149)-D149))</f>
        <v>0</v>
      </c>
    </row>
    <row r="150" customFormat="false" ht="15" hidden="false" customHeight="false" outlineLevel="0" collapsed="false">
      <c r="A150" s="6" t="s">
        <v>77</v>
      </c>
      <c r="B150" s="6" t="s">
        <v>162</v>
      </c>
      <c r="C150" s="6" t="s">
        <v>303</v>
      </c>
      <c r="D150" s="18" t="n">
        <v>-1100</v>
      </c>
      <c r="E150" s="6" t="s">
        <v>83</v>
      </c>
      <c r="F150" s="6" t="s">
        <v>193</v>
      </c>
      <c r="G150" s="6" t="s">
        <v>194</v>
      </c>
      <c r="H150" s="6" t="s">
        <v>285</v>
      </c>
      <c r="I150" s="6" t="s">
        <v>302</v>
      </c>
      <c r="J150" s="6" t="s">
        <v>270</v>
      </c>
      <c r="K150" s="6" t="n">
        <f aca="false">COUNTIFS($A$6:$A$243,A150,$B$6:$B$243,B150)</f>
        <v>1</v>
      </c>
      <c r="L150" s="19" t="n">
        <f aca="false">IF(COUNTIF(Data_Panel!$A$6:$A$44,B150)=0,"not in panel",IF(A150=Data_Panel!$D$5,SUMIFS(Data_Panel!$D$6:$D$44,Data_Panel!$A$6:$A$44,B150),IF(A150=Data_Panel!$E$5,SUMIFS(Data_Panel!$E$6:$E$44,Data_Panel!$A$6:$A$44,B150),IF(A150=Data_Panel!$F$5,SUMIFS(Data_Panel!$F$6:$F$44,Data_Panel!$A$6:$A$44,B150),IF(A150=Data_Panel!$G$5,SUMIFS(Data_Panel!$G$6:$G$44,Data_Panel!$A$6:$A$44,B150),IF(A150=Data_Panel!$H$5,SUMIFS(Data_Panel!$H$6:$H$44,Data_Panel!$A$6:$A$44,B150),IF(A150=Data_Panel!$I$5,SUMIFS(Data_Panel!$I$6:$I$44,Data_Panel!$A$6:$A$44,B150),IF(A150=Data_Panel!$J$5,SUMIFS(Data_Panel!$J$6:$J$44,Data_Panel!$A$6:$A$44,B150),"period not in panel"))))))))</f>
        <v>-1100</v>
      </c>
      <c r="M150" s="20" t="n">
        <f aca="false">IF(L150="not in panel",0,ABS(N(L150)-D150))</f>
        <v>0</v>
      </c>
    </row>
    <row r="151" customFormat="false" ht="15" hidden="false" customHeight="false" outlineLevel="0" collapsed="false">
      <c r="A151" s="6" t="s">
        <v>77</v>
      </c>
      <c r="B151" s="6" t="s">
        <v>136</v>
      </c>
      <c r="C151" s="6" t="s">
        <v>137</v>
      </c>
      <c r="D151" s="18" t="n">
        <v>2152</v>
      </c>
      <c r="E151" s="6" t="s">
        <v>83</v>
      </c>
      <c r="F151" s="6" t="s">
        <v>193</v>
      </c>
      <c r="G151" s="6" t="s">
        <v>194</v>
      </c>
      <c r="H151" s="6" t="s">
        <v>296</v>
      </c>
      <c r="I151" s="6" t="s">
        <v>304</v>
      </c>
      <c r="J151" s="6" t="s">
        <v>197</v>
      </c>
      <c r="K151" s="6" t="n">
        <f aca="false">COUNTIFS($A$6:$A$243,A151,$B$6:$B$243,B151)</f>
        <v>1</v>
      </c>
      <c r="L151" s="19" t="n">
        <f aca="false">IF(COUNTIF(Data_Panel!$A$6:$A$44,B151)=0,"not in panel",IF(A151=Data_Panel!$D$5,SUMIFS(Data_Panel!$D$6:$D$44,Data_Panel!$A$6:$A$44,B151),IF(A151=Data_Panel!$E$5,SUMIFS(Data_Panel!$E$6:$E$44,Data_Panel!$A$6:$A$44,B151),IF(A151=Data_Panel!$F$5,SUMIFS(Data_Panel!$F$6:$F$44,Data_Panel!$A$6:$A$44,B151),IF(A151=Data_Panel!$G$5,SUMIFS(Data_Panel!$G$6:$G$44,Data_Panel!$A$6:$A$44,B151),IF(A151=Data_Panel!$H$5,SUMIFS(Data_Panel!$H$6:$H$44,Data_Panel!$A$6:$A$44,B151),IF(A151=Data_Panel!$I$5,SUMIFS(Data_Panel!$I$6:$I$44,Data_Panel!$A$6:$A$44,B151),IF(A151=Data_Panel!$J$5,SUMIFS(Data_Panel!$J$6:$J$44,Data_Panel!$A$6:$A$44,B151),"period not in panel"))))))))</f>
        <v>2152</v>
      </c>
      <c r="M151" s="20" t="n">
        <f aca="false">IF(L151="not in panel",0,ABS(N(L151)-D151))</f>
        <v>0</v>
      </c>
    </row>
    <row r="152" customFormat="false" ht="15" hidden="false" customHeight="false" outlineLevel="0" collapsed="false">
      <c r="A152" s="6" t="s">
        <v>77</v>
      </c>
      <c r="B152" s="6" t="s">
        <v>138</v>
      </c>
      <c r="C152" s="6" t="s">
        <v>139</v>
      </c>
      <c r="D152" s="18" t="n">
        <v>145</v>
      </c>
      <c r="E152" s="6" t="s">
        <v>83</v>
      </c>
      <c r="F152" s="6" t="s">
        <v>193</v>
      </c>
      <c r="G152" s="6" t="s">
        <v>194</v>
      </c>
      <c r="H152" s="6" t="s">
        <v>296</v>
      </c>
      <c r="I152" s="6" t="s">
        <v>304</v>
      </c>
      <c r="J152" s="6" t="s">
        <v>197</v>
      </c>
      <c r="K152" s="6" t="n">
        <f aca="false">COUNTIFS($A$6:$A$243,A152,$B$6:$B$243,B152)</f>
        <v>1</v>
      </c>
      <c r="L152" s="19" t="n">
        <f aca="false">IF(COUNTIF(Data_Panel!$A$6:$A$44,B152)=0,"not in panel",IF(A152=Data_Panel!$D$5,SUMIFS(Data_Panel!$D$6:$D$44,Data_Panel!$A$6:$A$44,B152),IF(A152=Data_Panel!$E$5,SUMIFS(Data_Panel!$E$6:$E$44,Data_Panel!$A$6:$A$44,B152),IF(A152=Data_Panel!$F$5,SUMIFS(Data_Panel!$F$6:$F$44,Data_Panel!$A$6:$A$44,B152),IF(A152=Data_Panel!$G$5,SUMIFS(Data_Panel!$G$6:$G$44,Data_Panel!$A$6:$A$44,B152),IF(A152=Data_Panel!$H$5,SUMIFS(Data_Panel!$H$6:$H$44,Data_Panel!$A$6:$A$44,B152),IF(A152=Data_Panel!$I$5,SUMIFS(Data_Panel!$I$6:$I$44,Data_Panel!$A$6:$A$44,B152),IF(A152=Data_Panel!$J$5,SUMIFS(Data_Panel!$J$6:$J$44,Data_Panel!$A$6:$A$44,B152),"period not in panel"))))))))</f>
        <v>145</v>
      </c>
      <c r="M152" s="20" t="n">
        <f aca="false">IF(L152="not in panel",0,ABS(N(L152)-D152))</f>
        <v>0</v>
      </c>
    </row>
    <row r="153" customFormat="false" ht="15" hidden="false" customHeight="false" outlineLevel="0" collapsed="false">
      <c r="A153" s="6" t="s">
        <v>77</v>
      </c>
      <c r="B153" s="6" t="s">
        <v>81</v>
      </c>
      <c r="C153" s="6" t="s">
        <v>82</v>
      </c>
      <c r="D153" s="18" t="n">
        <v>18157.27498</v>
      </c>
      <c r="E153" s="6" t="s">
        <v>83</v>
      </c>
      <c r="F153" s="6" t="s">
        <v>193</v>
      </c>
      <c r="G153" s="6" t="s">
        <v>213</v>
      </c>
      <c r="H153" s="6" t="s">
        <v>214</v>
      </c>
      <c r="I153" s="6" t="s">
        <v>305</v>
      </c>
      <c r="J153" s="6" t="s">
        <v>216</v>
      </c>
      <c r="K153" s="6" t="n">
        <f aca="false">COUNTIFS($A$6:$A$243,A153,$B$6:$B$243,B153)</f>
        <v>1</v>
      </c>
      <c r="L153" s="19" t="n">
        <f aca="false">IF(COUNTIF(Data_Panel!$A$6:$A$44,B153)=0,"not in panel",IF(A153=Data_Panel!$D$5,SUMIFS(Data_Panel!$D$6:$D$44,Data_Panel!$A$6:$A$44,B153),IF(A153=Data_Panel!$E$5,SUMIFS(Data_Panel!$E$6:$E$44,Data_Panel!$A$6:$A$44,B153),IF(A153=Data_Panel!$F$5,SUMIFS(Data_Panel!$F$6:$F$44,Data_Panel!$A$6:$A$44,B153),IF(A153=Data_Panel!$G$5,SUMIFS(Data_Panel!$G$6:$G$44,Data_Panel!$A$6:$A$44,B153),IF(A153=Data_Panel!$H$5,SUMIFS(Data_Panel!$H$6:$H$44,Data_Panel!$A$6:$A$44,B153),IF(A153=Data_Panel!$I$5,SUMIFS(Data_Panel!$I$6:$I$44,Data_Panel!$A$6:$A$44,B153),IF(A153=Data_Panel!$J$5,SUMIFS(Data_Panel!$J$6:$J$44,Data_Panel!$A$6:$A$44,B153),"period not in panel"))))))))</f>
        <v>18157.27498</v>
      </c>
      <c r="M153" s="20" t="n">
        <f aca="false">IF(L153="not in panel",0,ABS(N(L153)-D153))</f>
        <v>0</v>
      </c>
    </row>
    <row r="154" customFormat="false" ht="15" hidden="false" customHeight="false" outlineLevel="0" collapsed="false">
      <c r="A154" s="6" t="s">
        <v>77</v>
      </c>
      <c r="B154" s="6" t="s">
        <v>85</v>
      </c>
      <c r="C154" s="6" t="s">
        <v>86</v>
      </c>
      <c r="D154" s="18" t="n">
        <v>-14793.386042</v>
      </c>
      <c r="E154" s="6" t="s">
        <v>83</v>
      </c>
      <c r="F154" s="6" t="s">
        <v>193</v>
      </c>
      <c r="G154" s="6" t="s">
        <v>213</v>
      </c>
      <c r="H154" s="6" t="s">
        <v>214</v>
      </c>
      <c r="I154" s="6" t="s">
        <v>306</v>
      </c>
      <c r="J154" s="6" t="s">
        <v>216</v>
      </c>
      <c r="K154" s="6" t="n">
        <f aca="false">COUNTIFS($A$6:$A$243,A154,$B$6:$B$243,B154)</f>
        <v>1</v>
      </c>
      <c r="L154" s="19" t="n">
        <f aca="false">IF(COUNTIF(Data_Panel!$A$6:$A$44,B154)=0,"not in panel",IF(A154=Data_Panel!$D$5,SUMIFS(Data_Panel!$D$6:$D$44,Data_Panel!$A$6:$A$44,B154),IF(A154=Data_Panel!$E$5,SUMIFS(Data_Panel!$E$6:$E$44,Data_Panel!$A$6:$A$44,B154),IF(A154=Data_Panel!$F$5,SUMIFS(Data_Panel!$F$6:$F$44,Data_Panel!$A$6:$A$44,B154),IF(A154=Data_Panel!$G$5,SUMIFS(Data_Panel!$G$6:$G$44,Data_Panel!$A$6:$A$44,B154),IF(A154=Data_Panel!$H$5,SUMIFS(Data_Panel!$H$6:$H$44,Data_Panel!$A$6:$A$44,B154),IF(A154=Data_Panel!$I$5,SUMIFS(Data_Panel!$I$6:$I$44,Data_Panel!$A$6:$A$44,B154),IF(A154=Data_Panel!$J$5,SUMIFS(Data_Panel!$J$6:$J$44,Data_Panel!$A$6:$A$44,B154),"period not in panel"))))))))</f>
        <v>-14793.386042</v>
      </c>
      <c r="M154" s="20" t="n">
        <f aca="false">IF(L154="not in panel",0,ABS(N(L154)-D154))</f>
        <v>0</v>
      </c>
    </row>
    <row r="155" customFormat="false" ht="15" hidden="false" customHeight="false" outlineLevel="0" collapsed="false">
      <c r="A155" s="6" t="s">
        <v>77</v>
      </c>
      <c r="B155" s="6" t="s">
        <v>87</v>
      </c>
      <c r="C155" s="6" t="s">
        <v>88</v>
      </c>
      <c r="D155" s="18" t="n">
        <v>3363.888939</v>
      </c>
      <c r="E155" s="6" t="s">
        <v>83</v>
      </c>
      <c r="F155" s="6" t="s">
        <v>193</v>
      </c>
      <c r="G155" s="6" t="s">
        <v>213</v>
      </c>
      <c r="H155" s="6" t="s">
        <v>214</v>
      </c>
      <c r="I155" s="6" t="s">
        <v>307</v>
      </c>
      <c r="J155" s="6" t="s">
        <v>216</v>
      </c>
      <c r="K155" s="6" t="n">
        <f aca="false">COUNTIFS($A$6:$A$243,A155,$B$6:$B$243,B155)</f>
        <v>1</v>
      </c>
      <c r="L155" s="19" t="n">
        <f aca="false">IF(COUNTIF(Data_Panel!$A$6:$A$44,B155)=0,"not in panel",IF(A155=Data_Panel!$D$5,SUMIFS(Data_Panel!$D$6:$D$44,Data_Panel!$A$6:$A$44,B155),IF(A155=Data_Panel!$E$5,SUMIFS(Data_Panel!$E$6:$E$44,Data_Panel!$A$6:$A$44,B155),IF(A155=Data_Panel!$F$5,SUMIFS(Data_Panel!$F$6:$F$44,Data_Panel!$A$6:$A$44,B155),IF(A155=Data_Panel!$G$5,SUMIFS(Data_Panel!$G$6:$G$44,Data_Panel!$A$6:$A$44,B155),IF(A155=Data_Panel!$H$5,SUMIFS(Data_Panel!$H$6:$H$44,Data_Panel!$A$6:$A$44,B155),IF(A155=Data_Panel!$I$5,SUMIFS(Data_Panel!$I$6:$I$44,Data_Panel!$A$6:$A$44,B155),IF(A155=Data_Panel!$J$5,SUMIFS(Data_Panel!$J$6:$J$44,Data_Panel!$A$6:$A$44,B155),"period not in panel"))))))))</f>
        <v>3363.888939</v>
      </c>
      <c r="M155" s="20" t="n">
        <f aca="false">IF(L155="not in panel",0,ABS(N(L155)-D155))</f>
        <v>0</v>
      </c>
    </row>
    <row r="156" customFormat="false" ht="15" hidden="false" customHeight="false" outlineLevel="0" collapsed="false">
      <c r="A156" s="6" t="s">
        <v>77</v>
      </c>
      <c r="B156" s="6" t="s">
        <v>89</v>
      </c>
      <c r="C156" s="6" t="s">
        <v>90</v>
      </c>
      <c r="D156" s="18" t="n">
        <v>-1310.313838</v>
      </c>
      <c r="E156" s="6" t="s">
        <v>83</v>
      </c>
      <c r="F156" s="6" t="s">
        <v>193</v>
      </c>
      <c r="G156" s="6" t="s">
        <v>213</v>
      </c>
      <c r="H156" s="6" t="s">
        <v>214</v>
      </c>
      <c r="I156" s="6" t="s">
        <v>308</v>
      </c>
      <c r="J156" s="6" t="s">
        <v>216</v>
      </c>
      <c r="K156" s="6" t="n">
        <f aca="false">COUNTIFS($A$6:$A$243,A156,$B$6:$B$243,B156)</f>
        <v>1</v>
      </c>
      <c r="L156" s="19" t="n">
        <f aca="false">IF(COUNTIF(Data_Panel!$A$6:$A$44,B156)=0,"not in panel",IF(A156=Data_Panel!$D$5,SUMIFS(Data_Panel!$D$6:$D$44,Data_Panel!$A$6:$A$44,B156),IF(A156=Data_Panel!$E$5,SUMIFS(Data_Panel!$E$6:$E$44,Data_Panel!$A$6:$A$44,B156),IF(A156=Data_Panel!$F$5,SUMIFS(Data_Panel!$F$6:$F$44,Data_Panel!$A$6:$A$44,B156),IF(A156=Data_Panel!$G$5,SUMIFS(Data_Panel!$G$6:$G$44,Data_Panel!$A$6:$A$44,B156),IF(A156=Data_Panel!$H$5,SUMIFS(Data_Panel!$H$6:$H$44,Data_Panel!$A$6:$A$44,B156),IF(A156=Data_Panel!$I$5,SUMIFS(Data_Panel!$I$6:$I$44,Data_Panel!$A$6:$A$44,B156),IF(A156=Data_Panel!$J$5,SUMIFS(Data_Panel!$J$6:$J$44,Data_Panel!$A$6:$A$44,B156),"period not in panel"))))))))</f>
        <v>-1310.313838</v>
      </c>
      <c r="M156" s="20" t="n">
        <f aca="false">IF(L156="not in panel",0,ABS(N(L156)-D156))</f>
        <v>0</v>
      </c>
    </row>
    <row r="157" customFormat="false" ht="15" hidden="false" customHeight="false" outlineLevel="0" collapsed="false">
      <c r="A157" s="6" t="s">
        <v>77</v>
      </c>
      <c r="B157" s="6" t="s">
        <v>91</v>
      </c>
      <c r="C157" s="6" t="s">
        <v>92</v>
      </c>
      <c r="D157" s="18" t="n">
        <v>-977.853272</v>
      </c>
      <c r="E157" s="6" t="s">
        <v>83</v>
      </c>
      <c r="F157" s="6" t="s">
        <v>193</v>
      </c>
      <c r="G157" s="6" t="s">
        <v>213</v>
      </c>
      <c r="H157" s="6" t="s">
        <v>214</v>
      </c>
      <c r="I157" s="6" t="s">
        <v>309</v>
      </c>
      <c r="J157" s="6" t="s">
        <v>216</v>
      </c>
      <c r="K157" s="6" t="n">
        <f aca="false">COUNTIFS($A$6:$A$243,A157,$B$6:$B$243,B157)</f>
        <v>1</v>
      </c>
      <c r="L157" s="19" t="n">
        <f aca="false">IF(COUNTIF(Data_Panel!$A$6:$A$44,B157)=0,"not in panel",IF(A157=Data_Panel!$D$5,SUMIFS(Data_Panel!$D$6:$D$44,Data_Panel!$A$6:$A$44,B157),IF(A157=Data_Panel!$E$5,SUMIFS(Data_Panel!$E$6:$E$44,Data_Panel!$A$6:$A$44,B157),IF(A157=Data_Panel!$F$5,SUMIFS(Data_Panel!$F$6:$F$44,Data_Panel!$A$6:$A$44,B157),IF(A157=Data_Panel!$G$5,SUMIFS(Data_Panel!$G$6:$G$44,Data_Panel!$A$6:$A$44,B157),IF(A157=Data_Panel!$H$5,SUMIFS(Data_Panel!$H$6:$H$44,Data_Panel!$A$6:$A$44,B157),IF(A157=Data_Panel!$I$5,SUMIFS(Data_Panel!$I$6:$I$44,Data_Panel!$A$6:$A$44,B157),IF(A157=Data_Panel!$J$5,SUMIFS(Data_Panel!$J$6:$J$44,Data_Panel!$A$6:$A$44,B157),"period not in panel"))))))))</f>
        <v>-977.853272</v>
      </c>
      <c r="M157" s="20" t="n">
        <f aca="false">IF(L157="not in panel",0,ABS(N(L157)-D157))</f>
        <v>0</v>
      </c>
    </row>
    <row r="158" customFormat="false" ht="15" hidden="false" customHeight="false" outlineLevel="0" collapsed="false">
      <c r="A158" s="6" t="s">
        <v>77</v>
      </c>
      <c r="B158" s="6" t="s">
        <v>93</v>
      </c>
      <c r="C158" s="6" t="s">
        <v>94</v>
      </c>
      <c r="D158" s="18" t="n">
        <v>-68.930531</v>
      </c>
      <c r="E158" s="6" t="s">
        <v>83</v>
      </c>
      <c r="F158" s="6" t="s">
        <v>193</v>
      </c>
      <c r="G158" s="6" t="s">
        <v>213</v>
      </c>
      <c r="H158" s="6" t="s">
        <v>214</v>
      </c>
      <c r="I158" s="6" t="s">
        <v>310</v>
      </c>
      <c r="J158" s="6" t="s">
        <v>216</v>
      </c>
      <c r="K158" s="6" t="n">
        <f aca="false">COUNTIFS($A$6:$A$243,A158,$B$6:$B$243,B158)</f>
        <v>1</v>
      </c>
      <c r="L158" s="19" t="n">
        <f aca="false">IF(COUNTIF(Data_Panel!$A$6:$A$44,B158)=0,"not in panel",IF(A158=Data_Panel!$D$5,SUMIFS(Data_Panel!$D$6:$D$44,Data_Panel!$A$6:$A$44,B158),IF(A158=Data_Panel!$E$5,SUMIFS(Data_Panel!$E$6:$E$44,Data_Panel!$A$6:$A$44,B158),IF(A158=Data_Panel!$F$5,SUMIFS(Data_Panel!$F$6:$F$44,Data_Panel!$A$6:$A$44,B158),IF(A158=Data_Panel!$G$5,SUMIFS(Data_Panel!$G$6:$G$44,Data_Panel!$A$6:$A$44,B158),IF(A158=Data_Panel!$H$5,SUMIFS(Data_Panel!$H$6:$H$44,Data_Panel!$A$6:$A$44,B158),IF(A158=Data_Panel!$I$5,SUMIFS(Data_Panel!$I$6:$I$44,Data_Panel!$A$6:$A$44,B158),IF(A158=Data_Panel!$J$5,SUMIFS(Data_Panel!$J$6:$J$44,Data_Panel!$A$6:$A$44,B158),"period not in panel"))))))))</f>
        <v>-68.930531</v>
      </c>
      <c r="M158" s="20" t="n">
        <f aca="false">IF(L158="not in panel",0,ABS(N(L158)-D158))</f>
        <v>0</v>
      </c>
    </row>
    <row r="159" customFormat="false" ht="15" hidden="false" customHeight="false" outlineLevel="0" collapsed="false">
      <c r="A159" s="6" t="s">
        <v>77</v>
      </c>
      <c r="B159" s="6" t="s">
        <v>95</v>
      </c>
      <c r="C159" s="6" t="s">
        <v>230</v>
      </c>
      <c r="D159" s="18" t="n">
        <v>1006.791297</v>
      </c>
      <c r="E159" s="6" t="s">
        <v>83</v>
      </c>
      <c r="F159" s="6" t="s">
        <v>193</v>
      </c>
      <c r="G159" s="6" t="s">
        <v>213</v>
      </c>
      <c r="H159" s="6" t="s">
        <v>214</v>
      </c>
      <c r="I159" s="6" t="s">
        <v>311</v>
      </c>
      <c r="J159" s="6" t="s">
        <v>216</v>
      </c>
      <c r="K159" s="6" t="n">
        <f aca="false">COUNTIFS($A$6:$A$243,A159,$B$6:$B$243,B159)</f>
        <v>1</v>
      </c>
      <c r="L159" s="19" t="n">
        <f aca="false">IF(COUNTIF(Data_Panel!$A$6:$A$44,B159)=0,"not in panel",IF(A159=Data_Panel!$D$5,SUMIFS(Data_Panel!$D$6:$D$44,Data_Panel!$A$6:$A$44,B159),IF(A159=Data_Panel!$E$5,SUMIFS(Data_Panel!$E$6:$E$44,Data_Panel!$A$6:$A$44,B159),IF(A159=Data_Panel!$F$5,SUMIFS(Data_Panel!$F$6:$F$44,Data_Panel!$A$6:$A$44,B159),IF(A159=Data_Panel!$G$5,SUMIFS(Data_Panel!$G$6:$G$44,Data_Panel!$A$6:$A$44,B159),IF(A159=Data_Panel!$H$5,SUMIFS(Data_Panel!$H$6:$H$44,Data_Panel!$A$6:$A$44,B159),IF(A159=Data_Panel!$I$5,SUMIFS(Data_Panel!$I$6:$I$44,Data_Panel!$A$6:$A$44,B159),IF(A159=Data_Panel!$J$5,SUMIFS(Data_Panel!$J$6:$J$44,Data_Panel!$A$6:$A$44,B159),"period not in panel"))))))))</f>
        <v>1006.791297</v>
      </c>
      <c r="M159" s="20" t="n">
        <f aca="false">IF(L159="not in panel",0,ABS(N(L159)-D159))</f>
        <v>0</v>
      </c>
    </row>
    <row r="160" customFormat="false" ht="15" hidden="false" customHeight="false" outlineLevel="0" collapsed="false">
      <c r="A160" s="6" t="s">
        <v>77</v>
      </c>
      <c r="B160" s="6" t="s">
        <v>232</v>
      </c>
      <c r="C160" s="6" t="s">
        <v>233</v>
      </c>
      <c r="D160" s="18" t="n">
        <v>0.79</v>
      </c>
      <c r="E160" s="6" t="s">
        <v>234</v>
      </c>
      <c r="F160" s="6" t="s">
        <v>193</v>
      </c>
      <c r="G160" s="6" t="s">
        <v>213</v>
      </c>
      <c r="H160" s="6" t="s">
        <v>214</v>
      </c>
      <c r="I160" s="6" t="s">
        <v>312</v>
      </c>
      <c r="J160" s="6" t="s">
        <v>236</v>
      </c>
      <c r="K160" s="6" t="n">
        <f aca="false">COUNTIFS($A$6:$A$243,A160,$B$6:$B$243,B160)</f>
        <v>1</v>
      </c>
      <c r="L160" s="19" t="str">
        <f aca="false">IF(COUNTIF(Data_Panel!$A$6:$A$44,B160)=0,"not in panel",IF(A160=Data_Panel!$D$5,SUMIFS(Data_Panel!$D$6:$D$44,Data_Panel!$A$6:$A$44,B160),IF(A160=Data_Panel!$E$5,SUMIFS(Data_Panel!$E$6:$E$44,Data_Panel!$A$6:$A$44,B160),IF(A160=Data_Panel!$F$5,SUMIFS(Data_Panel!$F$6:$F$44,Data_Panel!$A$6:$A$44,B160),IF(A160=Data_Panel!$G$5,SUMIFS(Data_Panel!$G$6:$G$44,Data_Panel!$A$6:$A$44,B160),IF(A160=Data_Panel!$H$5,SUMIFS(Data_Panel!$H$6:$H$44,Data_Panel!$A$6:$A$44,B160),IF(A160=Data_Panel!$I$5,SUMIFS(Data_Panel!$I$6:$I$44,Data_Panel!$A$6:$A$44,B160),IF(A160=Data_Panel!$J$5,SUMIFS(Data_Panel!$J$6:$J$44,Data_Panel!$A$6:$A$44,B160),"period not in panel"))))))))</f>
        <v>not in panel</v>
      </c>
      <c r="M160" s="20" t="n">
        <f aca="false">IF(L160="not in panel",0,ABS(N(L160)-D160))</f>
        <v>0</v>
      </c>
    </row>
    <row r="161" customFormat="false" ht="15" hidden="false" customHeight="false" outlineLevel="0" collapsed="false">
      <c r="A161" s="6" t="s">
        <v>77</v>
      </c>
      <c r="B161" s="6" t="s">
        <v>237</v>
      </c>
      <c r="C161" s="6" t="s">
        <v>238</v>
      </c>
      <c r="D161" s="18" t="n">
        <v>0.8</v>
      </c>
      <c r="E161" s="6" t="s">
        <v>234</v>
      </c>
      <c r="F161" s="6" t="s">
        <v>193</v>
      </c>
      <c r="G161" s="6" t="s">
        <v>213</v>
      </c>
      <c r="H161" s="6" t="s">
        <v>214</v>
      </c>
      <c r="I161" s="6" t="s">
        <v>313</v>
      </c>
      <c r="J161" s="6" t="s">
        <v>236</v>
      </c>
      <c r="K161" s="6" t="n">
        <f aca="false">COUNTIFS($A$6:$A$243,A161,$B$6:$B$243,B161)</f>
        <v>1</v>
      </c>
      <c r="L161" s="19" t="str">
        <f aca="false">IF(COUNTIF(Data_Panel!$A$6:$A$44,B161)=0,"not in panel",IF(A161=Data_Panel!$D$5,SUMIFS(Data_Panel!$D$6:$D$44,Data_Panel!$A$6:$A$44,B161),IF(A161=Data_Panel!$E$5,SUMIFS(Data_Panel!$E$6:$E$44,Data_Panel!$A$6:$A$44,B161),IF(A161=Data_Panel!$F$5,SUMIFS(Data_Panel!$F$6:$F$44,Data_Panel!$A$6:$A$44,B161),IF(A161=Data_Panel!$G$5,SUMIFS(Data_Panel!$G$6:$G$44,Data_Panel!$A$6:$A$44,B161),IF(A161=Data_Panel!$H$5,SUMIFS(Data_Panel!$H$6:$H$44,Data_Panel!$A$6:$A$44,B161),IF(A161=Data_Panel!$I$5,SUMIFS(Data_Panel!$I$6:$I$44,Data_Panel!$A$6:$A$44,B161),IF(A161=Data_Panel!$J$5,SUMIFS(Data_Panel!$J$6:$J$44,Data_Panel!$A$6:$A$44,B161),"period not in panel"))))))))</f>
        <v>not in panel</v>
      </c>
      <c r="M161" s="20" t="n">
        <f aca="false">IF(L161="not in panel",0,ABS(N(L161)-D161))</f>
        <v>0</v>
      </c>
    </row>
    <row r="162" customFormat="false" ht="15" hidden="false" customHeight="false" outlineLevel="0" collapsed="false">
      <c r="A162" s="6" t="s">
        <v>77</v>
      </c>
      <c r="B162" s="6" t="s">
        <v>165</v>
      </c>
      <c r="C162" s="6" t="s">
        <v>240</v>
      </c>
      <c r="D162" s="18" t="n">
        <v>146391</v>
      </c>
      <c r="E162" s="6" t="s">
        <v>167</v>
      </c>
      <c r="F162" s="6" t="s">
        <v>193</v>
      </c>
      <c r="G162" s="6" t="s">
        <v>213</v>
      </c>
      <c r="H162" s="6" t="s">
        <v>214</v>
      </c>
      <c r="I162" s="6" t="s">
        <v>314</v>
      </c>
      <c r="J162" s="6" t="s">
        <v>236</v>
      </c>
      <c r="K162" s="6" t="n">
        <f aca="false">COUNTIFS($A$6:$A$243,A162,$B$6:$B$243,B162)</f>
        <v>1</v>
      </c>
      <c r="L162" s="19" t="n">
        <f aca="false">IF(COUNTIF(Data_Panel!$A$6:$A$44,B162)=0,"not in panel",IF(A162=Data_Panel!$D$5,SUMIFS(Data_Panel!$D$6:$D$44,Data_Panel!$A$6:$A$44,B162),IF(A162=Data_Panel!$E$5,SUMIFS(Data_Panel!$E$6:$E$44,Data_Panel!$A$6:$A$44,B162),IF(A162=Data_Panel!$F$5,SUMIFS(Data_Panel!$F$6:$F$44,Data_Panel!$A$6:$A$44,B162),IF(A162=Data_Panel!$G$5,SUMIFS(Data_Panel!$G$6:$G$44,Data_Panel!$A$6:$A$44,B162),IF(A162=Data_Panel!$H$5,SUMIFS(Data_Panel!$H$6:$H$44,Data_Panel!$A$6:$A$44,B162),IF(A162=Data_Panel!$I$5,SUMIFS(Data_Panel!$I$6:$I$44,Data_Panel!$A$6:$A$44,B162),IF(A162=Data_Panel!$J$5,SUMIFS(Data_Panel!$J$6:$J$44,Data_Panel!$A$6:$A$44,B162),"period not in panel"))))))))</f>
        <v>146391</v>
      </c>
      <c r="M162" s="20" t="n">
        <f aca="false">IF(L162="not in panel",0,ABS(N(L162)-D162))</f>
        <v>0</v>
      </c>
    </row>
    <row r="163" customFormat="false" ht="15" hidden="false" customHeight="false" outlineLevel="0" collapsed="false">
      <c r="A163" s="6" t="s">
        <v>77</v>
      </c>
      <c r="B163" s="6" t="s">
        <v>168</v>
      </c>
      <c r="C163" s="6" t="s">
        <v>169</v>
      </c>
      <c r="D163" s="18" t="n">
        <v>135142</v>
      </c>
      <c r="E163" s="6" t="s">
        <v>167</v>
      </c>
      <c r="F163" s="6" t="s">
        <v>193</v>
      </c>
      <c r="G163" s="6" t="s">
        <v>213</v>
      </c>
      <c r="H163" s="6" t="s">
        <v>214</v>
      </c>
      <c r="I163" s="6" t="s">
        <v>315</v>
      </c>
      <c r="J163" s="6" t="s">
        <v>236</v>
      </c>
      <c r="K163" s="6" t="n">
        <f aca="false">COUNTIFS($A$6:$A$243,A163,$B$6:$B$243,B163)</f>
        <v>1</v>
      </c>
      <c r="L163" s="19" t="n">
        <f aca="false">IF(COUNTIF(Data_Panel!$A$6:$A$44,B163)=0,"not in panel",IF(A163=Data_Panel!$D$5,SUMIFS(Data_Panel!$D$6:$D$44,Data_Panel!$A$6:$A$44,B163),IF(A163=Data_Panel!$E$5,SUMIFS(Data_Panel!$E$6:$E$44,Data_Panel!$A$6:$A$44,B163),IF(A163=Data_Panel!$F$5,SUMIFS(Data_Panel!$F$6:$F$44,Data_Panel!$A$6:$A$44,B163),IF(A163=Data_Panel!$G$5,SUMIFS(Data_Panel!$G$6:$G$44,Data_Panel!$A$6:$A$44,B163),IF(A163=Data_Panel!$H$5,SUMIFS(Data_Panel!$H$6:$H$44,Data_Panel!$A$6:$A$44,B163),IF(A163=Data_Panel!$I$5,SUMIFS(Data_Panel!$I$6:$I$44,Data_Panel!$A$6:$A$44,B163),IF(A163=Data_Panel!$J$5,SUMIFS(Data_Panel!$J$6:$J$44,Data_Panel!$A$6:$A$44,B163),"period not in panel"))))))))</f>
        <v>135142</v>
      </c>
      <c r="M163" s="20" t="n">
        <f aca="false">IF(L163="not in panel",0,ABS(N(L163)-D163))</f>
        <v>0</v>
      </c>
    </row>
    <row r="164" customFormat="false" ht="15" hidden="false" customHeight="false" outlineLevel="0" collapsed="false">
      <c r="A164" s="6" t="s">
        <v>77</v>
      </c>
      <c r="B164" s="6" t="s">
        <v>170</v>
      </c>
      <c r="C164" s="6" t="s">
        <v>243</v>
      </c>
      <c r="D164" s="18" t="n">
        <v>119</v>
      </c>
      <c r="E164" s="6" t="s">
        <v>172</v>
      </c>
      <c r="F164" s="6" t="s">
        <v>193</v>
      </c>
      <c r="G164" s="6" t="s">
        <v>194</v>
      </c>
      <c r="H164" s="6" t="s">
        <v>150</v>
      </c>
      <c r="I164" s="6" t="s">
        <v>316</v>
      </c>
      <c r="J164" s="6" t="s">
        <v>245</v>
      </c>
      <c r="K164" s="6" t="n">
        <f aca="false">COUNTIFS($A$6:$A$243,A164,$B$6:$B$243,B164)</f>
        <v>1</v>
      </c>
      <c r="L164" s="19" t="n">
        <f aca="false">IF(COUNTIF(Data_Panel!$A$6:$A$44,B164)=0,"not in panel",IF(A164=Data_Panel!$D$5,SUMIFS(Data_Panel!$D$6:$D$44,Data_Panel!$A$6:$A$44,B164),IF(A164=Data_Panel!$E$5,SUMIFS(Data_Panel!$E$6:$E$44,Data_Panel!$A$6:$A$44,B164),IF(A164=Data_Panel!$F$5,SUMIFS(Data_Panel!$F$6:$F$44,Data_Panel!$A$6:$A$44,B164),IF(A164=Data_Panel!$G$5,SUMIFS(Data_Panel!$G$6:$G$44,Data_Panel!$A$6:$A$44,B164),IF(A164=Data_Panel!$H$5,SUMIFS(Data_Panel!$H$6:$H$44,Data_Panel!$A$6:$A$44,B164),IF(A164=Data_Panel!$I$5,SUMIFS(Data_Panel!$I$6:$I$44,Data_Panel!$A$6:$A$44,B164),IF(A164=Data_Panel!$J$5,SUMIFS(Data_Panel!$J$6:$J$44,Data_Panel!$A$6:$A$44,B164),"period not in panel"))))))))</f>
        <v>119</v>
      </c>
      <c r="M164" s="20" t="n">
        <f aca="false">IF(L164="not in panel",0,ABS(N(L164)-D164))</f>
        <v>0</v>
      </c>
    </row>
    <row r="165" customFormat="false" ht="15" hidden="false" customHeight="false" outlineLevel="0" collapsed="false">
      <c r="A165" s="6" t="s">
        <v>77</v>
      </c>
      <c r="B165" s="6" t="s">
        <v>174</v>
      </c>
      <c r="C165" s="6" t="s">
        <v>246</v>
      </c>
      <c r="D165" s="18" t="n">
        <v>23.5</v>
      </c>
      <c r="E165" s="6" t="s">
        <v>106</v>
      </c>
      <c r="F165" s="6" t="s">
        <v>193</v>
      </c>
      <c r="G165" s="6" t="s">
        <v>194</v>
      </c>
      <c r="H165" s="6" t="s">
        <v>296</v>
      </c>
      <c r="I165" s="6" t="s">
        <v>317</v>
      </c>
      <c r="J165" s="6" t="s">
        <v>199</v>
      </c>
      <c r="K165" s="6" t="n">
        <f aca="false">COUNTIFS($A$6:$A$243,A165,$B$6:$B$243,B165)</f>
        <v>1</v>
      </c>
      <c r="L165" s="19" t="n">
        <f aca="false">IF(COUNTIF(Data_Panel!$A$6:$A$44,B165)=0,"not in panel",IF(A165=Data_Panel!$D$5,SUMIFS(Data_Panel!$D$6:$D$44,Data_Panel!$A$6:$A$44,B165),IF(A165=Data_Panel!$E$5,SUMIFS(Data_Panel!$E$6:$E$44,Data_Panel!$A$6:$A$44,B165),IF(A165=Data_Panel!$F$5,SUMIFS(Data_Panel!$F$6:$F$44,Data_Panel!$A$6:$A$44,B165),IF(A165=Data_Panel!$G$5,SUMIFS(Data_Panel!$G$6:$G$44,Data_Panel!$A$6:$A$44,B165),IF(A165=Data_Panel!$H$5,SUMIFS(Data_Panel!$H$6:$H$44,Data_Panel!$A$6:$A$44,B165),IF(A165=Data_Panel!$I$5,SUMIFS(Data_Panel!$I$6:$I$44,Data_Panel!$A$6:$A$44,B165),IF(A165=Data_Panel!$J$5,SUMIFS(Data_Panel!$J$6:$J$44,Data_Panel!$A$6:$A$44,B165),"period not in panel"))))))))</f>
        <v>23.5</v>
      </c>
      <c r="M165" s="20" t="n">
        <f aca="false">IF(L165="not in panel",0,ABS(N(L165)-D165))</f>
        <v>0</v>
      </c>
    </row>
    <row r="166" customFormat="false" ht="15" hidden="false" customHeight="false" outlineLevel="0" collapsed="false">
      <c r="A166" s="6" t="s">
        <v>77</v>
      </c>
      <c r="B166" s="6" t="s">
        <v>140</v>
      </c>
      <c r="C166" s="6" t="s">
        <v>141</v>
      </c>
      <c r="D166" s="18" t="n">
        <v>700</v>
      </c>
      <c r="E166" s="6" t="s">
        <v>83</v>
      </c>
      <c r="F166" s="6" t="s">
        <v>193</v>
      </c>
      <c r="G166" s="6" t="s">
        <v>194</v>
      </c>
      <c r="H166" s="6" t="s">
        <v>150</v>
      </c>
      <c r="I166" s="6" t="s">
        <v>318</v>
      </c>
      <c r="J166" s="6" t="s">
        <v>319</v>
      </c>
      <c r="K166" s="6" t="n">
        <f aca="false">COUNTIFS($A$6:$A$243,A166,$B$6:$B$243,B166)</f>
        <v>1</v>
      </c>
      <c r="L166" s="19" t="n">
        <f aca="false">IF(COUNTIF(Data_Panel!$A$6:$A$44,B166)=0,"not in panel",IF(A166=Data_Panel!$D$5,SUMIFS(Data_Panel!$D$6:$D$44,Data_Panel!$A$6:$A$44,B166),IF(A166=Data_Panel!$E$5,SUMIFS(Data_Panel!$E$6:$E$44,Data_Panel!$A$6:$A$44,B166),IF(A166=Data_Panel!$F$5,SUMIFS(Data_Panel!$F$6:$F$44,Data_Panel!$A$6:$A$44,B166),IF(A166=Data_Panel!$G$5,SUMIFS(Data_Panel!$G$6:$G$44,Data_Panel!$A$6:$A$44,B166),IF(A166=Data_Panel!$H$5,SUMIFS(Data_Panel!$H$6:$H$44,Data_Panel!$A$6:$A$44,B166),IF(A166=Data_Panel!$I$5,SUMIFS(Data_Panel!$I$6:$I$44,Data_Panel!$A$6:$A$44,B166),IF(A166=Data_Panel!$J$5,SUMIFS(Data_Panel!$J$6:$J$44,Data_Panel!$A$6:$A$44,B166),"period not in panel"))))))))</f>
        <v>700</v>
      </c>
      <c r="M166" s="20" t="n">
        <f aca="false">IF(L166="not in panel",0,ABS(N(L166)-D166))</f>
        <v>0</v>
      </c>
    </row>
    <row r="167" customFormat="false" ht="15" hidden="false" customHeight="false" outlineLevel="0" collapsed="false">
      <c r="A167" s="6" t="s">
        <v>77</v>
      </c>
      <c r="B167" s="6" t="s">
        <v>142</v>
      </c>
      <c r="C167" s="6" t="s">
        <v>320</v>
      </c>
      <c r="D167" s="18" t="n">
        <v>400</v>
      </c>
      <c r="E167" s="6" t="s">
        <v>83</v>
      </c>
      <c r="F167" s="6" t="s">
        <v>193</v>
      </c>
      <c r="G167" s="6" t="s">
        <v>194</v>
      </c>
      <c r="H167" s="6" t="s">
        <v>296</v>
      </c>
      <c r="I167" s="6" t="s">
        <v>321</v>
      </c>
      <c r="J167" s="6" t="s">
        <v>319</v>
      </c>
      <c r="K167" s="6" t="n">
        <f aca="false">COUNTIFS($A$6:$A$243,A167,$B$6:$B$243,B167)</f>
        <v>1</v>
      </c>
      <c r="L167" s="19" t="n">
        <f aca="false">IF(COUNTIF(Data_Panel!$A$6:$A$44,B167)=0,"not in panel",IF(A167=Data_Panel!$D$5,SUMIFS(Data_Panel!$D$6:$D$44,Data_Panel!$A$6:$A$44,B167),IF(A167=Data_Panel!$E$5,SUMIFS(Data_Panel!$E$6:$E$44,Data_Panel!$A$6:$A$44,B167),IF(A167=Data_Panel!$F$5,SUMIFS(Data_Panel!$F$6:$F$44,Data_Panel!$A$6:$A$44,B167),IF(A167=Data_Panel!$G$5,SUMIFS(Data_Panel!$G$6:$G$44,Data_Panel!$A$6:$A$44,B167),IF(A167=Data_Panel!$H$5,SUMIFS(Data_Panel!$H$6:$H$44,Data_Panel!$A$6:$A$44,B167),IF(A167=Data_Panel!$I$5,SUMIFS(Data_Panel!$I$6:$I$44,Data_Panel!$A$6:$A$44,B167),IF(A167=Data_Panel!$J$5,SUMIFS(Data_Panel!$J$6:$J$44,Data_Panel!$A$6:$A$44,B167),"period not in panel"))))))))</f>
        <v>400</v>
      </c>
      <c r="M167" s="20" t="n">
        <f aca="false">IF(L167="not in panel",0,ABS(N(L167)-D167))</f>
        <v>0</v>
      </c>
    </row>
    <row r="168" customFormat="false" ht="15" hidden="false" customHeight="false" outlineLevel="0" collapsed="false">
      <c r="A168" s="6" t="s">
        <v>77</v>
      </c>
      <c r="B168" s="6" t="s">
        <v>145</v>
      </c>
      <c r="C168" s="6" t="s">
        <v>146</v>
      </c>
      <c r="D168" s="18" t="n">
        <v>400</v>
      </c>
      <c r="E168" s="6" t="s">
        <v>83</v>
      </c>
      <c r="F168" s="6" t="s">
        <v>193</v>
      </c>
      <c r="G168" s="6" t="s">
        <v>194</v>
      </c>
      <c r="H168" s="6" t="s">
        <v>296</v>
      </c>
      <c r="I168" s="6" t="s">
        <v>321</v>
      </c>
      <c r="J168" s="6" t="s">
        <v>319</v>
      </c>
      <c r="K168" s="6" t="n">
        <f aca="false">COUNTIFS($A$6:$A$243,A168,$B$6:$B$243,B168)</f>
        <v>1</v>
      </c>
      <c r="L168" s="19" t="n">
        <f aca="false">IF(COUNTIF(Data_Panel!$A$6:$A$44,B168)=0,"not in panel",IF(A168=Data_Panel!$D$5,SUMIFS(Data_Panel!$D$6:$D$44,Data_Panel!$A$6:$A$44,B168),IF(A168=Data_Panel!$E$5,SUMIFS(Data_Panel!$E$6:$E$44,Data_Panel!$A$6:$A$44,B168),IF(A168=Data_Panel!$F$5,SUMIFS(Data_Panel!$F$6:$F$44,Data_Panel!$A$6:$A$44,B168),IF(A168=Data_Panel!$G$5,SUMIFS(Data_Panel!$G$6:$G$44,Data_Panel!$A$6:$A$44,B168),IF(A168=Data_Panel!$H$5,SUMIFS(Data_Panel!$H$6:$H$44,Data_Panel!$A$6:$A$44,B168),IF(A168=Data_Panel!$I$5,SUMIFS(Data_Panel!$I$6:$I$44,Data_Panel!$A$6:$A$44,B168),IF(A168=Data_Panel!$J$5,SUMIFS(Data_Panel!$J$6:$J$44,Data_Panel!$A$6:$A$44,B168),"period not in panel"))))))))</f>
        <v>400</v>
      </c>
      <c r="M168" s="20" t="n">
        <f aca="false">IF(L168="not in panel",0,ABS(N(L168)-D168))</f>
        <v>0</v>
      </c>
    </row>
    <row r="169" customFormat="false" ht="15" hidden="false" customHeight="false" outlineLevel="0" collapsed="false">
      <c r="A169" s="6" t="s">
        <v>77</v>
      </c>
      <c r="B169" s="6" t="s">
        <v>151</v>
      </c>
      <c r="C169" s="6" t="s">
        <v>249</v>
      </c>
      <c r="D169" s="18" t="n">
        <v>295</v>
      </c>
      <c r="E169" s="6" t="s">
        <v>83</v>
      </c>
      <c r="F169" s="6" t="s">
        <v>193</v>
      </c>
      <c r="G169" s="6" t="s">
        <v>194</v>
      </c>
      <c r="H169" s="6" t="s">
        <v>296</v>
      </c>
      <c r="I169" s="6" t="s">
        <v>322</v>
      </c>
      <c r="J169" s="6" t="s">
        <v>197</v>
      </c>
      <c r="K169" s="6" t="n">
        <f aca="false">COUNTIFS($A$6:$A$243,A169,$B$6:$B$243,B169)</f>
        <v>1</v>
      </c>
      <c r="L169" s="19" t="n">
        <f aca="false">IF(COUNTIF(Data_Panel!$A$6:$A$44,B169)=0,"not in panel",IF(A169=Data_Panel!$D$5,SUMIFS(Data_Panel!$D$6:$D$44,Data_Panel!$A$6:$A$44,B169),IF(A169=Data_Panel!$E$5,SUMIFS(Data_Panel!$E$6:$E$44,Data_Panel!$A$6:$A$44,B169),IF(A169=Data_Panel!$F$5,SUMIFS(Data_Panel!$F$6:$F$44,Data_Panel!$A$6:$A$44,B169),IF(A169=Data_Panel!$G$5,SUMIFS(Data_Panel!$G$6:$G$44,Data_Panel!$A$6:$A$44,B169),IF(A169=Data_Panel!$H$5,SUMIFS(Data_Panel!$H$6:$H$44,Data_Panel!$A$6:$A$44,B169),IF(A169=Data_Panel!$I$5,SUMIFS(Data_Panel!$I$6:$I$44,Data_Panel!$A$6:$A$44,B169),IF(A169=Data_Panel!$J$5,SUMIFS(Data_Panel!$J$6:$J$44,Data_Panel!$A$6:$A$44,B169),"period not in panel"))))))))</f>
        <v>295</v>
      </c>
      <c r="M169" s="20" t="n">
        <f aca="false">IF(L169="not in panel",0,ABS(N(L169)-D169))</f>
        <v>0</v>
      </c>
    </row>
    <row r="170" customFormat="false" ht="15" hidden="false" customHeight="false" outlineLevel="0" collapsed="false">
      <c r="A170" s="6" t="s">
        <v>78</v>
      </c>
      <c r="B170" s="6" t="s">
        <v>97</v>
      </c>
      <c r="C170" s="6" t="s">
        <v>98</v>
      </c>
      <c r="D170" s="18" t="n">
        <v>16047</v>
      </c>
      <c r="E170" s="6" t="s">
        <v>83</v>
      </c>
      <c r="F170" s="6" t="s">
        <v>208</v>
      </c>
      <c r="G170" s="6" t="s">
        <v>209</v>
      </c>
      <c r="H170" s="6"/>
      <c r="I170" s="6" t="s">
        <v>323</v>
      </c>
      <c r="J170" s="6" t="s">
        <v>252</v>
      </c>
      <c r="K170" s="6" t="n">
        <f aca="false">COUNTIFS($A$6:$A$243,A170,$B$6:$B$243,B170)</f>
        <v>1</v>
      </c>
      <c r="L170" s="19" t="n">
        <f aca="false">IF(COUNTIF(Data_Panel!$A$6:$A$44,B170)=0,"not in panel",IF(A170=Data_Panel!$D$5,SUMIFS(Data_Panel!$D$6:$D$44,Data_Panel!$A$6:$A$44,B170),IF(A170=Data_Panel!$E$5,SUMIFS(Data_Panel!$E$6:$E$44,Data_Panel!$A$6:$A$44,B170),IF(A170=Data_Panel!$F$5,SUMIFS(Data_Panel!$F$6:$F$44,Data_Panel!$A$6:$A$44,B170),IF(A170=Data_Panel!$G$5,SUMIFS(Data_Panel!$G$6:$G$44,Data_Panel!$A$6:$A$44,B170),IF(A170=Data_Panel!$H$5,SUMIFS(Data_Panel!$H$6:$H$44,Data_Panel!$A$6:$A$44,B170),IF(A170=Data_Panel!$I$5,SUMIFS(Data_Panel!$I$6:$I$44,Data_Panel!$A$6:$A$44,B170),IF(A170=Data_Panel!$J$5,SUMIFS(Data_Panel!$J$6:$J$44,Data_Panel!$A$6:$A$44,B170),"period not in panel"))))))))</f>
        <v>16047</v>
      </c>
      <c r="M170" s="20" t="n">
        <f aca="false">IF(L170="not in panel",0,ABS(N(L170)-D170))</f>
        <v>0</v>
      </c>
    </row>
    <row r="171" customFormat="false" ht="15" hidden="false" customHeight="false" outlineLevel="0" collapsed="false">
      <c r="A171" s="6" t="s">
        <v>78</v>
      </c>
      <c r="B171" s="6" t="s">
        <v>100</v>
      </c>
      <c r="C171" s="6" t="s">
        <v>101</v>
      </c>
      <c r="D171" s="18" t="n">
        <v>-742</v>
      </c>
      <c r="E171" s="6" t="s">
        <v>83</v>
      </c>
      <c r="F171" s="6" t="s">
        <v>208</v>
      </c>
      <c r="G171" s="6" t="s">
        <v>209</v>
      </c>
      <c r="H171" s="6"/>
      <c r="I171" s="6" t="s">
        <v>323</v>
      </c>
      <c r="J171" s="6" t="s">
        <v>252</v>
      </c>
      <c r="K171" s="6" t="n">
        <f aca="false">COUNTIFS($A$6:$A$243,A171,$B$6:$B$243,B171)</f>
        <v>1</v>
      </c>
      <c r="L171" s="19" t="n">
        <f aca="false">IF(COUNTIF(Data_Panel!$A$6:$A$44,B171)=0,"not in panel",IF(A171=Data_Panel!$D$5,SUMIFS(Data_Panel!$D$6:$D$44,Data_Panel!$A$6:$A$44,B171),IF(A171=Data_Panel!$E$5,SUMIFS(Data_Panel!$E$6:$E$44,Data_Panel!$A$6:$A$44,B171),IF(A171=Data_Panel!$F$5,SUMIFS(Data_Panel!$F$6:$F$44,Data_Panel!$A$6:$A$44,B171),IF(A171=Data_Panel!$G$5,SUMIFS(Data_Panel!$G$6:$G$44,Data_Panel!$A$6:$A$44,B171),IF(A171=Data_Panel!$H$5,SUMIFS(Data_Panel!$H$6:$H$44,Data_Panel!$A$6:$A$44,B171),IF(A171=Data_Panel!$I$5,SUMIFS(Data_Panel!$I$6:$I$44,Data_Panel!$A$6:$A$44,B171),IF(A171=Data_Panel!$J$5,SUMIFS(Data_Panel!$J$6:$J$44,Data_Panel!$A$6:$A$44,B171),"period not in panel"))))))))</f>
        <v>-742</v>
      </c>
      <c r="M171" s="20" t="n">
        <f aca="false">IF(L171="not in panel",0,ABS(N(L171)-D171))</f>
        <v>0</v>
      </c>
    </row>
    <row r="172" customFormat="false" ht="15" hidden="false" customHeight="false" outlineLevel="0" collapsed="false">
      <c r="A172" s="6" t="s">
        <v>78</v>
      </c>
      <c r="B172" s="6" t="s">
        <v>102</v>
      </c>
      <c r="C172" s="6" t="s">
        <v>103</v>
      </c>
      <c r="D172" s="18" t="n">
        <v>1694</v>
      </c>
      <c r="E172" s="6" t="s">
        <v>83</v>
      </c>
      <c r="F172" s="6" t="s">
        <v>208</v>
      </c>
      <c r="G172" s="6" t="s">
        <v>209</v>
      </c>
      <c r="H172" s="6"/>
      <c r="I172" s="6" t="s">
        <v>323</v>
      </c>
      <c r="J172" s="6" t="s">
        <v>252</v>
      </c>
      <c r="K172" s="6" t="n">
        <f aca="false">COUNTIFS($A$6:$A$243,A172,$B$6:$B$243,B172)</f>
        <v>1</v>
      </c>
      <c r="L172" s="19" t="n">
        <f aca="false">IF(COUNTIF(Data_Panel!$A$6:$A$44,B172)=0,"not in panel",IF(A172=Data_Panel!$D$5,SUMIFS(Data_Panel!$D$6:$D$44,Data_Panel!$A$6:$A$44,B172),IF(A172=Data_Panel!$E$5,SUMIFS(Data_Panel!$E$6:$E$44,Data_Panel!$A$6:$A$44,B172),IF(A172=Data_Panel!$F$5,SUMIFS(Data_Panel!$F$6:$F$44,Data_Panel!$A$6:$A$44,B172),IF(A172=Data_Panel!$G$5,SUMIFS(Data_Panel!$G$6:$G$44,Data_Panel!$A$6:$A$44,B172),IF(A172=Data_Panel!$H$5,SUMIFS(Data_Panel!$H$6:$H$44,Data_Panel!$A$6:$A$44,B172),IF(A172=Data_Panel!$I$5,SUMIFS(Data_Panel!$I$6:$I$44,Data_Panel!$A$6:$A$44,B172),IF(A172=Data_Panel!$J$5,SUMIFS(Data_Panel!$J$6:$J$44,Data_Panel!$A$6:$A$44,B172),"period not in panel"))))))))</f>
        <v>1694</v>
      </c>
      <c r="M172" s="20" t="n">
        <f aca="false">IF(L172="not in panel",0,ABS(N(L172)-D172))</f>
        <v>0</v>
      </c>
    </row>
    <row r="173" customFormat="false" ht="15" hidden="false" customHeight="false" outlineLevel="0" collapsed="false">
      <c r="A173" s="6" t="s">
        <v>78</v>
      </c>
      <c r="B173" s="6" t="s">
        <v>108</v>
      </c>
      <c r="C173" s="6" t="s">
        <v>109</v>
      </c>
      <c r="D173" s="18" t="n">
        <v>1028</v>
      </c>
      <c r="E173" s="6" t="s">
        <v>83</v>
      </c>
      <c r="F173" s="6" t="s">
        <v>208</v>
      </c>
      <c r="G173" s="6" t="s">
        <v>209</v>
      </c>
      <c r="H173" s="6"/>
      <c r="I173" s="6" t="s">
        <v>324</v>
      </c>
      <c r="J173" s="6" t="s">
        <v>252</v>
      </c>
      <c r="K173" s="6" t="n">
        <f aca="false">COUNTIFS($A$6:$A$243,A173,$B$6:$B$243,B173)</f>
        <v>1</v>
      </c>
      <c r="L173" s="19" t="n">
        <f aca="false">IF(COUNTIF(Data_Panel!$A$6:$A$44,B173)=0,"not in panel",IF(A173=Data_Panel!$D$5,SUMIFS(Data_Panel!$D$6:$D$44,Data_Panel!$A$6:$A$44,B173),IF(A173=Data_Panel!$E$5,SUMIFS(Data_Panel!$E$6:$E$44,Data_Panel!$A$6:$A$44,B173),IF(A173=Data_Panel!$F$5,SUMIFS(Data_Panel!$F$6:$F$44,Data_Panel!$A$6:$A$44,B173),IF(A173=Data_Panel!$G$5,SUMIFS(Data_Panel!$G$6:$G$44,Data_Panel!$A$6:$A$44,B173),IF(A173=Data_Panel!$H$5,SUMIFS(Data_Panel!$H$6:$H$44,Data_Panel!$A$6:$A$44,B173),IF(A173=Data_Panel!$I$5,SUMIFS(Data_Panel!$I$6:$I$44,Data_Panel!$A$6:$A$44,B173),IF(A173=Data_Panel!$J$5,SUMIFS(Data_Panel!$J$6:$J$44,Data_Panel!$A$6:$A$44,B173),"period not in panel"))))))))</f>
        <v>1028</v>
      </c>
      <c r="M173" s="20" t="n">
        <f aca="false">IF(L173="not in panel",0,ABS(N(L173)-D173))</f>
        <v>0</v>
      </c>
    </row>
    <row r="174" customFormat="false" ht="15" hidden="false" customHeight="false" outlineLevel="0" collapsed="false">
      <c r="A174" s="6" t="s">
        <v>78</v>
      </c>
      <c r="B174" s="6" t="s">
        <v>111</v>
      </c>
      <c r="C174" s="6" t="s">
        <v>201</v>
      </c>
      <c r="D174" s="18" t="n">
        <v>388</v>
      </c>
      <c r="E174" s="6" t="s">
        <v>83</v>
      </c>
      <c r="F174" s="6" t="s">
        <v>208</v>
      </c>
      <c r="G174" s="6" t="s">
        <v>209</v>
      </c>
      <c r="H174" s="6"/>
      <c r="I174" s="6" t="s">
        <v>324</v>
      </c>
      <c r="J174" s="6" t="s">
        <v>252</v>
      </c>
      <c r="K174" s="6" t="n">
        <f aca="false">COUNTIFS($A$6:$A$243,A174,$B$6:$B$243,B174)</f>
        <v>1</v>
      </c>
      <c r="L174" s="19" t="n">
        <f aca="false">IF(COUNTIF(Data_Panel!$A$6:$A$44,B174)=0,"not in panel",IF(A174=Data_Panel!$D$5,SUMIFS(Data_Panel!$D$6:$D$44,Data_Panel!$A$6:$A$44,B174),IF(A174=Data_Panel!$E$5,SUMIFS(Data_Panel!$E$6:$E$44,Data_Panel!$A$6:$A$44,B174),IF(A174=Data_Panel!$F$5,SUMIFS(Data_Panel!$F$6:$F$44,Data_Panel!$A$6:$A$44,B174),IF(A174=Data_Panel!$G$5,SUMIFS(Data_Panel!$G$6:$G$44,Data_Panel!$A$6:$A$44,B174),IF(A174=Data_Panel!$H$5,SUMIFS(Data_Panel!$H$6:$H$44,Data_Panel!$A$6:$A$44,B174),IF(A174=Data_Panel!$I$5,SUMIFS(Data_Panel!$I$6:$I$44,Data_Panel!$A$6:$A$44,B174),IF(A174=Data_Panel!$J$5,SUMIFS(Data_Panel!$J$6:$J$44,Data_Panel!$A$6:$A$44,B174),"period not in panel"))))))))</f>
        <v>388</v>
      </c>
      <c r="M174" s="20" t="n">
        <f aca="false">IF(L174="not in panel",0,ABS(N(L174)-D174))</f>
        <v>0</v>
      </c>
    </row>
    <row r="175" customFormat="false" ht="15" hidden="false" customHeight="false" outlineLevel="0" collapsed="false">
      <c r="A175" s="6" t="s">
        <v>78</v>
      </c>
      <c r="B175" s="6" t="s">
        <v>116</v>
      </c>
      <c r="C175" s="6" t="s">
        <v>203</v>
      </c>
      <c r="D175" s="18" t="n">
        <v>639</v>
      </c>
      <c r="E175" s="6" t="s">
        <v>83</v>
      </c>
      <c r="F175" s="6" t="s">
        <v>208</v>
      </c>
      <c r="G175" s="6" t="s">
        <v>209</v>
      </c>
      <c r="H175" s="6"/>
      <c r="I175" s="6" t="s">
        <v>324</v>
      </c>
      <c r="J175" s="6" t="s">
        <v>252</v>
      </c>
      <c r="K175" s="6" t="n">
        <f aca="false">COUNTIFS($A$6:$A$243,A175,$B$6:$B$243,B175)</f>
        <v>1</v>
      </c>
      <c r="L175" s="19" t="n">
        <f aca="false">IF(COUNTIF(Data_Panel!$A$6:$A$44,B175)=0,"not in panel",IF(A175=Data_Panel!$D$5,SUMIFS(Data_Panel!$D$6:$D$44,Data_Panel!$A$6:$A$44,B175),IF(A175=Data_Panel!$E$5,SUMIFS(Data_Panel!$E$6:$E$44,Data_Panel!$A$6:$A$44,B175),IF(A175=Data_Panel!$F$5,SUMIFS(Data_Panel!$F$6:$F$44,Data_Panel!$A$6:$A$44,B175),IF(A175=Data_Panel!$G$5,SUMIFS(Data_Panel!$G$6:$G$44,Data_Panel!$A$6:$A$44,B175),IF(A175=Data_Panel!$H$5,SUMIFS(Data_Panel!$H$6:$H$44,Data_Panel!$A$6:$A$44,B175),IF(A175=Data_Panel!$I$5,SUMIFS(Data_Panel!$I$6:$I$44,Data_Panel!$A$6:$A$44,B175),IF(A175=Data_Panel!$J$5,SUMIFS(Data_Panel!$J$6:$J$44,Data_Panel!$A$6:$A$44,B175),"period not in panel"))))))))</f>
        <v>639</v>
      </c>
      <c r="M175" s="20" t="n">
        <f aca="false">IF(L175="not in panel",0,ABS(N(L175)-D175))</f>
        <v>0</v>
      </c>
    </row>
    <row r="176" customFormat="false" ht="15" hidden="false" customHeight="false" outlineLevel="0" collapsed="false">
      <c r="A176" s="6" t="s">
        <v>78</v>
      </c>
      <c r="B176" s="6" t="s">
        <v>119</v>
      </c>
      <c r="C176" s="6" t="s">
        <v>120</v>
      </c>
      <c r="D176" s="18" t="n">
        <v>1230</v>
      </c>
      <c r="E176" s="6" t="s">
        <v>83</v>
      </c>
      <c r="F176" s="6" t="s">
        <v>208</v>
      </c>
      <c r="G176" s="6" t="s">
        <v>209</v>
      </c>
      <c r="H176" s="6"/>
      <c r="I176" s="6" t="s">
        <v>324</v>
      </c>
      <c r="J176" s="6" t="s">
        <v>252</v>
      </c>
      <c r="K176" s="6" t="n">
        <f aca="false">COUNTIFS($A$6:$A$243,A176,$B$6:$B$243,B176)</f>
        <v>1</v>
      </c>
      <c r="L176" s="19" t="n">
        <f aca="false">IF(COUNTIF(Data_Panel!$A$6:$A$44,B176)=0,"not in panel",IF(A176=Data_Panel!$D$5,SUMIFS(Data_Panel!$D$6:$D$44,Data_Panel!$A$6:$A$44,B176),IF(A176=Data_Panel!$E$5,SUMIFS(Data_Panel!$E$6:$E$44,Data_Panel!$A$6:$A$44,B176),IF(A176=Data_Panel!$F$5,SUMIFS(Data_Panel!$F$6:$F$44,Data_Panel!$A$6:$A$44,B176),IF(A176=Data_Panel!$G$5,SUMIFS(Data_Panel!$G$6:$G$44,Data_Panel!$A$6:$A$44,B176),IF(A176=Data_Panel!$H$5,SUMIFS(Data_Panel!$H$6:$H$44,Data_Panel!$A$6:$A$44,B176),IF(A176=Data_Panel!$I$5,SUMIFS(Data_Panel!$I$6:$I$44,Data_Panel!$A$6:$A$44,B176),IF(A176=Data_Panel!$J$5,SUMIFS(Data_Panel!$J$6:$J$44,Data_Panel!$A$6:$A$44,B176),"period not in panel"))))))))</f>
        <v>1230</v>
      </c>
      <c r="M176" s="20" t="n">
        <f aca="false">IF(L176="not in panel",0,ABS(N(L176)-D176))</f>
        <v>0</v>
      </c>
    </row>
    <row r="177" customFormat="false" ht="15" hidden="false" customHeight="false" outlineLevel="0" collapsed="false">
      <c r="A177" s="6" t="s">
        <v>78</v>
      </c>
      <c r="B177" s="6" t="s">
        <v>121</v>
      </c>
      <c r="C177" s="6" t="s">
        <v>122</v>
      </c>
      <c r="D177" s="18" t="n">
        <v>1172</v>
      </c>
      <c r="E177" s="6" t="s">
        <v>83</v>
      </c>
      <c r="F177" s="6" t="s">
        <v>208</v>
      </c>
      <c r="G177" s="6" t="s">
        <v>209</v>
      </c>
      <c r="H177" s="6"/>
      <c r="I177" s="6" t="s">
        <v>324</v>
      </c>
      <c r="J177" s="6" t="s">
        <v>252</v>
      </c>
      <c r="K177" s="6" t="n">
        <f aca="false">COUNTIFS($A$6:$A$243,A177,$B$6:$B$243,B177)</f>
        <v>1</v>
      </c>
      <c r="L177" s="19" t="n">
        <f aca="false">IF(COUNTIF(Data_Panel!$A$6:$A$44,B177)=0,"not in panel",IF(A177=Data_Panel!$D$5,SUMIFS(Data_Panel!$D$6:$D$44,Data_Panel!$A$6:$A$44,B177),IF(A177=Data_Panel!$E$5,SUMIFS(Data_Panel!$E$6:$E$44,Data_Panel!$A$6:$A$44,B177),IF(A177=Data_Panel!$F$5,SUMIFS(Data_Panel!$F$6:$F$44,Data_Panel!$A$6:$A$44,B177),IF(A177=Data_Panel!$G$5,SUMIFS(Data_Panel!$G$6:$G$44,Data_Panel!$A$6:$A$44,B177),IF(A177=Data_Panel!$H$5,SUMIFS(Data_Panel!$H$6:$H$44,Data_Panel!$A$6:$A$44,B177),IF(A177=Data_Panel!$I$5,SUMIFS(Data_Panel!$I$6:$I$44,Data_Panel!$A$6:$A$44,B177),IF(A177=Data_Panel!$J$5,SUMIFS(Data_Panel!$J$6:$J$44,Data_Panel!$A$6:$A$44,B177),"period not in panel"))))))))</f>
        <v>1172</v>
      </c>
      <c r="M177" s="20" t="n">
        <f aca="false">IF(L177="not in panel",0,ABS(N(L177)-D177))</f>
        <v>0</v>
      </c>
    </row>
    <row r="178" customFormat="false" ht="15" hidden="false" customHeight="false" outlineLevel="0" collapsed="false">
      <c r="A178" s="6" t="s">
        <v>78</v>
      </c>
      <c r="B178" s="6" t="s">
        <v>123</v>
      </c>
      <c r="C178" s="6" t="s">
        <v>207</v>
      </c>
      <c r="D178" s="18" t="n">
        <v>1206</v>
      </c>
      <c r="E178" s="6" t="s">
        <v>83</v>
      </c>
      <c r="F178" s="6" t="s">
        <v>208</v>
      </c>
      <c r="G178" s="6" t="s">
        <v>209</v>
      </c>
      <c r="H178" s="6"/>
      <c r="I178" s="6" t="s">
        <v>324</v>
      </c>
      <c r="J178" s="6" t="s">
        <v>252</v>
      </c>
      <c r="K178" s="6" t="n">
        <f aca="false">COUNTIFS($A$6:$A$243,A178,$B$6:$B$243,B178)</f>
        <v>1</v>
      </c>
      <c r="L178" s="19" t="n">
        <f aca="false">IF(COUNTIF(Data_Panel!$A$6:$A$44,B178)=0,"not in panel",IF(A178=Data_Panel!$D$5,SUMIFS(Data_Panel!$D$6:$D$44,Data_Panel!$A$6:$A$44,B178),IF(A178=Data_Panel!$E$5,SUMIFS(Data_Panel!$E$6:$E$44,Data_Panel!$A$6:$A$44,B178),IF(A178=Data_Panel!$F$5,SUMIFS(Data_Panel!$F$6:$F$44,Data_Panel!$A$6:$A$44,B178),IF(A178=Data_Panel!$G$5,SUMIFS(Data_Panel!$G$6:$G$44,Data_Panel!$A$6:$A$44,B178),IF(A178=Data_Panel!$H$5,SUMIFS(Data_Panel!$H$6:$H$44,Data_Panel!$A$6:$A$44,B178),IF(A178=Data_Panel!$I$5,SUMIFS(Data_Panel!$I$6:$I$44,Data_Panel!$A$6:$A$44,B178),IF(A178=Data_Panel!$J$5,SUMIFS(Data_Panel!$J$6:$J$44,Data_Panel!$A$6:$A$44,B178),"period not in panel"))))))))</f>
        <v>1206</v>
      </c>
      <c r="M178" s="20" t="n">
        <f aca="false">IF(L178="not in panel",0,ABS(N(L178)-D178))</f>
        <v>0</v>
      </c>
    </row>
    <row r="179" customFormat="false" ht="15" hidden="false" customHeight="false" outlineLevel="0" collapsed="false">
      <c r="A179" s="6" t="s">
        <v>78</v>
      </c>
      <c r="B179" s="6" t="s">
        <v>126</v>
      </c>
      <c r="C179" s="6" t="s">
        <v>212</v>
      </c>
      <c r="D179" s="18" t="n">
        <v>2436</v>
      </c>
      <c r="E179" s="6" t="s">
        <v>83</v>
      </c>
      <c r="F179" s="6" t="s">
        <v>208</v>
      </c>
      <c r="G179" s="6" t="s">
        <v>209</v>
      </c>
      <c r="H179" s="6"/>
      <c r="I179" s="6" t="s">
        <v>324</v>
      </c>
      <c r="J179" s="6" t="s">
        <v>252</v>
      </c>
      <c r="K179" s="6" t="n">
        <f aca="false">COUNTIFS($A$6:$A$243,A179,$B$6:$B$243,B179)</f>
        <v>1</v>
      </c>
      <c r="L179" s="19" t="n">
        <f aca="false">IF(COUNTIF(Data_Panel!$A$6:$A$44,B179)=0,"not in panel",IF(A179=Data_Panel!$D$5,SUMIFS(Data_Panel!$D$6:$D$44,Data_Panel!$A$6:$A$44,B179),IF(A179=Data_Panel!$E$5,SUMIFS(Data_Panel!$E$6:$E$44,Data_Panel!$A$6:$A$44,B179),IF(A179=Data_Panel!$F$5,SUMIFS(Data_Panel!$F$6:$F$44,Data_Panel!$A$6:$A$44,B179),IF(A179=Data_Panel!$G$5,SUMIFS(Data_Panel!$G$6:$G$44,Data_Panel!$A$6:$A$44,B179),IF(A179=Data_Panel!$H$5,SUMIFS(Data_Panel!$H$6:$H$44,Data_Panel!$A$6:$A$44,B179),IF(A179=Data_Panel!$I$5,SUMIFS(Data_Panel!$I$6:$I$44,Data_Panel!$A$6:$A$44,B179),IF(A179=Data_Panel!$J$5,SUMIFS(Data_Panel!$J$6:$J$44,Data_Panel!$A$6:$A$44,B179),"period not in panel"))))))))</f>
        <v>2436</v>
      </c>
      <c r="M179" s="20" t="n">
        <f aca="false">IF(L179="not in panel",0,ABS(N(L179)-D179))</f>
        <v>0</v>
      </c>
    </row>
    <row r="180" customFormat="false" ht="15" hidden="false" customHeight="false" outlineLevel="0" collapsed="false">
      <c r="A180" s="6" t="s">
        <v>78</v>
      </c>
      <c r="B180" s="6" t="s">
        <v>132</v>
      </c>
      <c r="C180" s="6" t="s">
        <v>133</v>
      </c>
      <c r="D180" s="18" t="n">
        <v>1117.121593</v>
      </c>
      <c r="E180" s="6" t="s">
        <v>83</v>
      </c>
      <c r="F180" s="6" t="s">
        <v>208</v>
      </c>
      <c r="G180" s="6" t="s">
        <v>209</v>
      </c>
      <c r="H180" s="6"/>
      <c r="I180" s="6" t="s">
        <v>325</v>
      </c>
      <c r="J180" s="6" t="s">
        <v>258</v>
      </c>
      <c r="K180" s="6" t="n">
        <f aca="false">COUNTIFS($A$6:$A$243,A180,$B$6:$B$243,B180)</f>
        <v>1</v>
      </c>
      <c r="L180" s="19" t="n">
        <f aca="false">IF(COUNTIF(Data_Panel!$A$6:$A$44,B180)=0,"not in panel",IF(A180=Data_Panel!$D$5,SUMIFS(Data_Panel!$D$6:$D$44,Data_Panel!$A$6:$A$44,B180),IF(A180=Data_Panel!$E$5,SUMIFS(Data_Panel!$E$6:$E$44,Data_Panel!$A$6:$A$44,B180),IF(A180=Data_Panel!$F$5,SUMIFS(Data_Panel!$F$6:$F$44,Data_Panel!$A$6:$A$44,B180),IF(A180=Data_Panel!$G$5,SUMIFS(Data_Panel!$G$6:$G$44,Data_Panel!$A$6:$A$44,B180),IF(A180=Data_Panel!$H$5,SUMIFS(Data_Panel!$H$6:$H$44,Data_Panel!$A$6:$A$44,B180),IF(A180=Data_Panel!$I$5,SUMIFS(Data_Panel!$I$6:$I$44,Data_Panel!$A$6:$A$44,B180),IF(A180=Data_Panel!$J$5,SUMIFS(Data_Panel!$J$6:$J$44,Data_Panel!$A$6:$A$44,B180),"period not in panel"))))))))</f>
        <v>1117.121593</v>
      </c>
      <c r="M180" s="20" t="n">
        <f aca="false">IF(L180="not in panel",0,ABS(N(L180)-D180))</f>
        <v>0</v>
      </c>
    </row>
    <row r="181" customFormat="false" ht="15" hidden="false" customHeight="false" outlineLevel="0" collapsed="false">
      <c r="A181" s="6" t="s">
        <v>78</v>
      </c>
      <c r="B181" s="6" t="s">
        <v>128</v>
      </c>
      <c r="C181" s="6" t="s">
        <v>217</v>
      </c>
      <c r="D181" s="18" t="n">
        <v>2805.38661</v>
      </c>
      <c r="E181" s="6" t="s">
        <v>83</v>
      </c>
      <c r="F181" s="6" t="s">
        <v>208</v>
      </c>
      <c r="G181" s="6" t="s">
        <v>209</v>
      </c>
      <c r="H181" s="6"/>
      <c r="I181" s="6" t="s">
        <v>325</v>
      </c>
      <c r="J181" s="6" t="s">
        <v>258</v>
      </c>
      <c r="K181" s="6" t="n">
        <f aca="false">COUNTIFS($A$6:$A$243,A181,$B$6:$B$243,B181)</f>
        <v>1</v>
      </c>
      <c r="L181" s="19" t="n">
        <f aca="false">IF(COUNTIF(Data_Panel!$A$6:$A$44,B181)=0,"not in panel",IF(A181=Data_Panel!$D$5,SUMIFS(Data_Panel!$D$6:$D$44,Data_Panel!$A$6:$A$44,B181),IF(A181=Data_Panel!$E$5,SUMIFS(Data_Panel!$E$6:$E$44,Data_Panel!$A$6:$A$44,B181),IF(A181=Data_Panel!$F$5,SUMIFS(Data_Panel!$F$6:$F$44,Data_Panel!$A$6:$A$44,B181),IF(A181=Data_Panel!$G$5,SUMIFS(Data_Panel!$G$6:$G$44,Data_Panel!$A$6:$A$44,B181),IF(A181=Data_Panel!$H$5,SUMIFS(Data_Panel!$H$6:$H$44,Data_Panel!$A$6:$A$44,B181),IF(A181=Data_Panel!$I$5,SUMIFS(Data_Panel!$I$6:$I$44,Data_Panel!$A$6:$A$44,B181),IF(A181=Data_Panel!$J$5,SUMIFS(Data_Panel!$J$6:$J$44,Data_Panel!$A$6:$A$44,B181),"period not in panel"))))))))</f>
        <v>2805.38661</v>
      </c>
      <c r="M181" s="20" t="n">
        <f aca="false">IF(L181="not in panel",0,ABS(N(L181)-D181))</f>
        <v>0</v>
      </c>
    </row>
    <row r="182" customFormat="false" ht="15" hidden="false" customHeight="false" outlineLevel="0" collapsed="false">
      <c r="A182" s="6" t="s">
        <v>78</v>
      </c>
      <c r="B182" s="6" t="s">
        <v>130</v>
      </c>
      <c r="C182" s="6" t="s">
        <v>219</v>
      </c>
      <c r="D182" s="18" t="n">
        <v>-1688.265017</v>
      </c>
      <c r="E182" s="6" t="s">
        <v>83</v>
      </c>
      <c r="F182" s="6" t="s">
        <v>208</v>
      </c>
      <c r="G182" s="6" t="s">
        <v>209</v>
      </c>
      <c r="H182" s="6"/>
      <c r="I182" s="6" t="s">
        <v>325</v>
      </c>
      <c r="J182" s="6" t="s">
        <v>258</v>
      </c>
      <c r="K182" s="6" t="n">
        <f aca="false">COUNTIFS($A$6:$A$243,A182,$B$6:$B$243,B182)</f>
        <v>1</v>
      </c>
      <c r="L182" s="19" t="n">
        <f aca="false">IF(COUNTIF(Data_Panel!$A$6:$A$44,B182)=0,"not in panel",IF(A182=Data_Panel!$D$5,SUMIFS(Data_Panel!$D$6:$D$44,Data_Panel!$A$6:$A$44,B182),IF(A182=Data_Panel!$E$5,SUMIFS(Data_Panel!$E$6:$E$44,Data_Panel!$A$6:$A$44,B182),IF(A182=Data_Panel!$F$5,SUMIFS(Data_Panel!$F$6:$F$44,Data_Panel!$A$6:$A$44,B182),IF(A182=Data_Panel!$G$5,SUMIFS(Data_Panel!$G$6:$G$44,Data_Panel!$A$6:$A$44,B182),IF(A182=Data_Panel!$H$5,SUMIFS(Data_Panel!$H$6:$H$44,Data_Panel!$A$6:$A$44,B182),IF(A182=Data_Panel!$I$5,SUMIFS(Data_Panel!$I$6:$I$44,Data_Panel!$A$6:$A$44,B182),IF(A182=Data_Panel!$J$5,SUMIFS(Data_Panel!$J$6:$J$44,Data_Panel!$A$6:$A$44,B182),"period not in panel"))))))))</f>
        <v>-1688.265017</v>
      </c>
      <c r="M182" s="20" t="n">
        <f aca="false">IF(L182="not in panel",0,ABS(N(L182)-D182))</f>
        <v>0</v>
      </c>
    </row>
    <row r="183" customFormat="false" ht="15" hidden="false" customHeight="false" outlineLevel="0" collapsed="false">
      <c r="A183" s="6" t="s">
        <v>78</v>
      </c>
      <c r="B183" s="6" t="s">
        <v>134</v>
      </c>
      <c r="C183" s="6" t="s">
        <v>221</v>
      </c>
      <c r="D183" s="18" t="n">
        <v>7346.110286</v>
      </c>
      <c r="E183" s="6" t="s">
        <v>83</v>
      </c>
      <c r="F183" s="6" t="s">
        <v>208</v>
      </c>
      <c r="G183" s="6" t="s">
        <v>209</v>
      </c>
      <c r="H183" s="6"/>
      <c r="I183" s="6" t="s">
        <v>326</v>
      </c>
      <c r="J183" s="6" t="s">
        <v>216</v>
      </c>
      <c r="K183" s="6" t="n">
        <f aca="false">COUNTIFS($A$6:$A$243,A183,$B$6:$B$243,B183)</f>
        <v>1</v>
      </c>
      <c r="L183" s="19" t="n">
        <f aca="false">IF(COUNTIF(Data_Panel!$A$6:$A$44,B183)=0,"not in panel",IF(A183=Data_Panel!$D$5,SUMIFS(Data_Panel!$D$6:$D$44,Data_Panel!$A$6:$A$44,B183),IF(A183=Data_Panel!$E$5,SUMIFS(Data_Panel!$E$6:$E$44,Data_Panel!$A$6:$A$44,B183),IF(A183=Data_Panel!$F$5,SUMIFS(Data_Panel!$F$6:$F$44,Data_Panel!$A$6:$A$44,B183),IF(A183=Data_Panel!$G$5,SUMIFS(Data_Panel!$G$6:$G$44,Data_Panel!$A$6:$A$44,B183),IF(A183=Data_Panel!$H$5,SUMIFS(Data_Panel!$H$6:$H$44,Data_Panel!$A$6:$A$44,B183),IF(A183=Data_Panel!$I$5,SUMIFS(Data_Panel!$I$6:$I$44,Data_Panel!$A$6:$A$44,B183),IF(A183=Data_Panel!$J$5,SUMIFS(Data_Panel!$J$6:$J$44,Data_Panel!$A$6:$A$44,B183),"period not in panel"))))))))</f>
        <v>7346.110286</v>
      </c>
      <c r="M183" s="20" t="n">
        <f aca="false">IF(L183="not in panel",0,ABS(N(L183)-D183))</f>
        <v>0</v>
      </c>
    </row>
    <row r="184" customFormat="false" ht="15" hidden="false" customHeight="false" outlineLevel="0" collapsed="false">
      <c r="A184" s="6" t="s">
        <v>78</v>
      </c>
      <c r="B184" s="6" t="s">
        <v>153</v>
      </c>
      <c r="C184" s="6" t="s">
        <v>268</v>
      </c>
      <c r="D184" s="18" t="n">
        <v>-2550</v>
      </c>
      <c r="E184" s="6" t="s">
        <v>83</v>
      </c>
      <c r="F184" s="6" t="s">
        <v>208</v>
      </c>
      <c r="G184" s="6" t="s">
        <v>209</v>
      </c>
      <c r="H184" s="6"/>
      <c r="I184" s="6" t="s">
        <v>327</v>
      </c>
      <c r="J184" s="6" t="s">
        <v>328</v>
      </c>
      <c r="K184" s="6" t="n">
        <f aca="false">COUNTIFS($A$6:$A$243,A184,$B$6:$B$243,B184)</f>
        <v>1</v>
      </c>
      <c r="L184" s="19" t="n">
        <f aca="false">IF(COUNTIF(Data_Panel!$A$6:$A$44,B184)=0,"not in panel",IF(A184=Data_Panel!$D$5,SUMIFS(Data_Panel!$D$6:$D$44,Data_Panel!$A$6:$A$44,B184),IF(A184=Data_Panel!$E$5,SUMIFS(Data_Panel!$E$6:$E$44,Data_Panel!$A$6:$A$44,B184),IF(A184=Data_Panel!$F$5,SUMIFS(Data_Panel!$F$6:$F$44,Data_Panel!$A$6:$A$44,B184),IF(A184=Data_Panel!$G$5,SUMIFS(Data_Panel!$G$6:$G$44,Data_Panel!$A$6:$A$44,B184),IF(A184=Data_Panel!$H$5,SUMIFS(Data_Panel!$H$6:$H$44,Data_Panel!$A$6:$A$44,B184),IF(A184=Data_Panel!$I$5,SUMIFS(Data_Panel!$I$6:$I$44,Data_Panel!$A$6:$A$44,B184),IF(A184=Data_Panel!$J$5,SUMIFS(Data_Panel!$J$6:$J$44,Data_Panel!$A$6:$A$44,B184),"period not in panel"))))))))</f>
        <v>-2550</v>
      </c>
      <c r="M184" s="20" t="n">
        <f aca="false">IF(L184="not in panel",0,ABS(N(L184)-D184))</f>
        <v>0</v>
      </c>
    </row>
    <row r="185" customFormat="false" ht="15" hidden="false" customHeight="false" outlineLevel="0" collapsed="false">
      <c r="A185" s="6" t="s">
        <v>78</v>
      </c>
      <c r="B185" s="6" t="s">
        <v>156</v>
      </c>
      <c r="C185" s="6" t="s">
        <v>271</v>
      </c>
      <c r="D185" s="18" t="n">
        <v>-890</v>
      </c>
      <c r="E185" s="6" t="s">
        <v>83</v>
      </c>
      <c r="F185" s="6" t="s">
        <v>208</v>
      </c>
      <c r="G185" s="6" t="s">
        <v>209</v>
      </c>
      <c r="H185" s="6"/>
      <c r="I185" s="6" t="s">
        <v>327</v>
      </c>
      <c r="J185" s="6" t="s">
        <v>328</v>
      </c>
      <c r="K185" s="6" t="n">
        <f aca="false">COUNTIFS($A$6:$A$243,A185,$B$6:$B$243,B185)</f>
        <v>1</v>
      </c>
      <c r="L185" s="19" t="n">
        <f aca="false">IF(COUNTIF(Data_Panel!$A$6:$A$44,B185)=0,"not in panel",IF(A185=Data_Panel!$D$5,SUMIFS(Data_Panel!$D$6:$D$44,Data_Panel!$A$6:$A$44,B185),IF(A185=Data_Panel!$E$5,SUMIFS(Data_Panel!$E$6:$E$44,Data_Panel!$A$6:$A$44,B185),IF(A185=Data_Panel!$F$5,SUMIFS(Data_Panel!$F$6:$F$44,Data_Panel!$A$6:$A$44,B185),IF(A185=Data_Panel!$G$5,SUMIFS(Data_Panel!$G$6:$G$44,Data_Panel!$A$6:$A$44,B185),IF(A185=Data_Panel!$H$5,SUMIFS(Data_Panel!$H$6:$H$44,Data_Panel!$A$6:$A$44,B185),IF(A185=Data_Panel!$I$5,SUMIFS(Data_Panel!$I$6:$I$44,Data_Panel!$A$6:$A$44,B185),IF(A185=Data_Panel!$J$5,SUMIFS(Data_Panel!$J$6:$J$44,Data_Panel!$A$6:$A$44,B185),"period not in panel"))))))))</f>
        <v>-890</v>
      </c>
      <c r="M185" s="20" t="n">
        <f aca="false">IF(L185="not in panel",0,ABS(N(L185)-D185))</f>
        <v>0</v>
      </c>
    </row>
    <row r="186" customFormat="false" ht="15" hidden="false" customHeight="false" outlineLevel="0" collapsed="false">
      <c r="A186" s="6" t="s">
        <v>78</v>
      </c>
      <c r="B186" s="6" t="s">
        <v>158</v>
      </c>
      <c r="C186" s="6" t="s">
        <v>272</v>
      </c>
      <c r="D186" s="18" t="n">
        <v>220</v>
      </c>
      <c r="E186" s="6" t="s">
        <v>83</v>
      </c>
      <c r="F186" s="6" t="s">
        <v>208</v>
      </c>
      <c r="G186" s="6" t="s">
        <v>209</v>
      </c>
      <c r="H186" s="6"/>
      <c r="I186" s="6" t="s">
        <v>327</v>
      </c>
      <c r="J186" s="6" t="s">
        <v>328</v>
      </c>
      <c r="K186" s="6" t="n">
        <f aca="false">COUNTIFS($A$6:$A$243,A186,$B$6:$B$243,B186)</f>
        <v>1</v>
      </c>
      <c r="L186" s="19" t="n">
        <f aca="false">IF(COUNTIF(Data_Panel!$A$6:$A$44,B186)=0,"not in panel",IF(A186=Data_Panel!$D$5,SUMIFS(Data_Panel!$D$6:$D$44,Data_Panel!$A$6:$A$44,B186),IF(A186=Data_Panel!$E$5,SUMIFS(Data_Panel!$E$6:$E$44,Data_Panel!$A$6:$A$44,B186),IF(A186=Data_Panel!$F$5,SUMIFS(Data_Panel!$F$6:$F$44,Data_Panel!$A$6:$A$44,B186),IF(A186=Data_Panel!$G$5,SUMIFS(Data_Panel!$G$6:$G$44,Data_Panel!$A$6:$A$44,B186),IF(A186=Data_Panel!$H$5,SUMIFS(Data_Panel!$H$6:$H$44,Data_Panel!$A$6:$A$44,B186),IF(A186=Data_Panel!$I$5,SUMIFS(Data_Panel!$I$6:$I$44,Data_Panel!$A$6:$A$44,B186),IF(A186=Data_Panel!$J$5,SUMIFS(Data_Panel!$J$6:$J$44,Data_Panel!$A$6:$A$44,B186),"period not in panel"))))))))</f>
        <v>220</v>
      </c>
      <c r="M186" s="20" t="n">
        <f aca="false">IF(L186="not in panel",0,ABS(N(L186)-D186))</f>
        <v>0</v>
      </c>
    </row>
    <row r="187" customFormat="false" ht="15" hidden="false" customHeight="false" outlineLevel="0" collapsed="false">
      <c r="A187" s="6" t="s">
        <v>78</v>
      </c>
      <c r="B187" s="6" t="s">
        <v>160</v>
      </c>
      <c r="C187" s="6" t="s">
        <v>273</v>
      </c>
      <c r="D187" s="18" t="n">
        <v>50</v>
      </c>
      <c r="E187" s="6" t="s">
        <v>83</v>
      </c>
      <c r="F187" s="6" t="s">
        <v>208</v>
      </c>
      <c r="G187" s="6" t="s">
        <v>209</v>
      </c>
      <c r="H187" s="6"/>
      <c r="I187" s="6" t="s">
        <v>327</v>
      </c>
      <c r="J187" s="6" t="s">
        <v>328</v>
      </c>
      <c r="K187" s="6" t="n">
        <f aca="false">COUNTIFS($A$6:$A$243,A187,$B$6:$B$243,B187)</f>
        <v>1</v>
      </c>
      <c r="L187" s="19" t="n">
        <f aca="false">IF(COUNTIF(Data_Panel!$A$6:$A$44,B187)=0,"not in panel",IF(A187=Data_Panel!$D$5,SUMIFS(Data_Panel!$D$6:$D$44,Data_Panel!$A$6:$A$44,B187),IF(A187=Data_Panel!$E$5,SUMIFS(Data_Panel!$E$6:$E$44,Data_Panel!$A$6:$A$44,B187),IF(A187=Data_Panel!$F$5,SUMIFS(Data_Panel!$F$6:$F$44,Data_Panel!$A$6:$A$44,B187),IF(A187=Data_Panel!$G$5,SUMIFS(Data_Panel!$G$6:$G$44,Data_Panel!$A$6:$A$44,B187),IF(A187=Data_Panel!$H$5,SUMIFS(Data_Panel!$H$6:$H$44,Data_Panel!$A$6:$A$44,B187),IF(A187=Data_Panel!$I$5,SUMIFS(Data_Panel!$I$6:$I$44,Data_Panel!$A$6:$A$44,B187),IF(A187=Data_Panel!$J$5,SUMIFS(Data_Panel!$J$6:$J$44,Data_Panel!$A$6:$A$44,B187),"period not in panel"))))))))</f>
        <v>50</v>
      </c>
      <c r="M187" s="20" t="n">
        <f aca="false">IF(L187="not in panel",0,ABS(N(L187)-D187))</f>
        <v>0</v>
      </c>
    </row>
    <row r="188" customFormat="false" ht="15" hidden="false" customHeight="false" outlineLevel="0" collapsed="false">
      <c r="A188" s="6" t="s">
        <v>78</v>
      </c>
      <c r="B188" s="6" t="s">
        <v>162</v>
      </c>
      <c r="C188" s="6" t="s">
        <v>303</v>
      </c>
      <c r="D188" s="18" t="n">
        <v>-2800</v>
      </c>
      <c r="E188" s="6" t="s">
        <v>83</v>
      </c>
      <c r="F188" s="6" t="s">
        <v>208</v>
      </c>
      <c r="G188" s="6" t="s">
        <v>209</v>
      </c>
      <c r="H188" s="6"/>
      <c r="I188" s="6" t="s">
        <v>327</v>
      </c>
      <c r="J188" s="6" t="s">
        <v>294</v>
      </c>
      <c r="K188" s="6" t="n">
        <f aca="false">COUNTIFS($A$6:$A$243,A188,$B$6:$B$243,B188)</f>
        <v>1</v>
      </c>
      <c r="L188" s="19" t="n">
        <f aca="false">IF(COUNTIF(Data_Panel!$A$6:$A$44,B188)=0,"not in panel",IF(A188=Data_Panel!$D$5,SUMIFS(Data_Panel!$D$6:$D$44,Data_Panel!$A$6:$A$44,B188),IF(A188=Data_Panel!$E$5,SUMIFS(Data_Panel!$E$6:$E$44,Data_Panel!$A$6:$A$44,B188),IF(A188=Data_Panel!$F$5,SUMIFS(Data_Panel!$F$6:$F$44,Data_Panel!$A$6:$A$44,B188),IF(A188=Data_Panel!$G$5,SUMIFS(Data_Panel!$G$6:$G$44,Data_Panel!$A$6:$A$44,B188),IF(A188=Data_Panel!$H$5,SUMIFS(Data_Panel!$H$6:$H$44,Data_Panel!$A$6:$A$44,B188),IF(A188=Data_Panel!$I$5,SUMIFS(Data_Panel!$I$6:$I$44,Data_Panel!$A$6:$A$44,B188),IF(A188=Data_Panel!$J$5,SUMIFS(Data_Panel!$J$6:$J$44,Data_Panel!$A$6:$A$44,B188),"period not in panel"))))))))</f>
        <v>-2800</v>
      </c>
      <c r="M188" s="20" t="n">
        <f aca="false">IF(L188="not in panel",0,ABS(N(L188)-D188))</f>
        <v>0</v>
      </c>
    </row>
    <row r="189" customFormat="false" ht="15" hidden="false" customHeight="false" outlineLevel="0" collapsed="false">
      <c r="A189" s="6" t="s">
        <v>78</v>
      </c>
      <c r="B189" s="6" t="s">
        <v>136</v>
      </c>
      <c r="C189" s="6" t="s">
        <v>137</v>
      </c>
      <c r="D189" s="18" t="n">
        <v>2232</v>
      </c>
      <c r="E189" s="6" t="s">
        <v>83</v>
      </c>
      <c r="F189" s="6" t="s">
        <v>208</v>
      </c>
      <c r="G189" s="6" t="s">
        <v>209</v>
      </c>
      <c r="H189" s="6"/>
      <c r="I189" s="6" t="s">
        <v>323</v>
      </c>
      <c r="J189" s="6" t="s">
        <v>252</v>
      </c>
      <c r="K189" s="6" t="n">
        <f aca="false">COUNTIFS($A$6:$A$243,A189,$B$6:$B$243,B189)</f>
        <v>1</v>
      </c>
      <c r="L189" s="19" t="n">
        <f aca="false">IF(COUNTIF(Data_Panel!$A$6:$A$44,B189)=0,"not in panel",IF(A189=Data_Panel!$D$5,SUMIFS(Data_Panel!$D$6:$D$44,Data_Panel!$A$6:$A$44,B189),IF(A189=Data_Panel!$E$5,SUMIFS(Data_Panel!$E$6:$E$44,Data_Panel!$A$6:$A$44,B189),IF(A189=Data_Panel!$F$5,SUMIFS(Data_Panel!$F$6:$F$44,Data_Panel!$A$6:$A$44,B189),IF(A189=Data_Panel!$G$5,SUMIFS(Data_Panel!$G$6:$G$44,Data_Panel!$A$6:$A$44,B189),IF(A189=Data_Panel!$H$5,SUMIFS(Data_Panel!$H$6:$H$44,Data_Panel!$A$6:$A$44,B189),IF(A189=Data_Panel!$I$5,SUMIFS(Data_Panel!$I$6:$I$44,Data_Panel!$A$6:$A$44,B189),IF(A189=Data_Panel!$J$5,SUMIFS(Data_Panel!$J$6:$J$44,Data_Panel!$A$6:$A$44,B189),"period not in panel"))))))))</f>
        <v>2232</v>
      </c>
      <c r="M189" s="20" t="n">
        <f aca="false">IF(L189="not in panel",0,ABS(N(L189)-D189))</f>
        <v>0</v>
      </c>
    </row>
    <row r="190" customFormat="false" ht="15" hidden="false" customHeight="false" outlineLevel="0" collapsed="false">
      <c r="A190" s="6" t="s">
        <v>78</v>
      </c>
      <c r="B190" s="6" t="s">
        <v>138</v>
      </c>
      <c r="C190" s="6" t="s">
        <v>139</v>
      </c>
      <c r="D190" s="18" t="n">
        <v>114</v>
      </c>
      <c r="E190" s="6" t="s">
        <v>83</v>
      </c>
      <c r="F190" s="6" t="s">
        <v>208</v>
      </c>
      <c r="G190" s="6" t="s">
        <v>209</v>
      </c>
      <c r="H190" s="6"/>
      <c r="I190" s="6" t="s">
        <v>323</v>
      </c>
      <c r="J190" s="6" t="s">
        <v>252</v>
      </c>
      <c r="K190" s="6" t="n">
        <f aca="false">COUNTIFS($A$6:$A$243,A190,$B$6:$B$243,B190)</f>
        <v>1</v>
      </c>
      <c r="L190" s="19" t="n">
        <f aca="false">IF(COUNTIF(Data_Panel!$A$6:$A$44,B190)=0,"not in panel",IF(A190=Data_Panel!$D$5,SUMIFS(Data_Panel!$D$6:$D$44,Data_Panel!$A$6:$A$44,B190),IF(A190=Data_Panel!$E$5,SUMIFS(Data_Panel!$E$6:$E$44,Data_Panel!$A$6:$A$44,B190),IF(A190=Data_Panel!$F$5,SUMIFS(Data_Panel!$F$6:$F$44,Data_Panel!$A$6:$A$44,B190),IF(A190=Data_Panel!$G$5,SUMIFS(Data_Panel!$G$6:$G$44,Data_Panel!$A$6:$A$44,B190),IF(A190=Data_Panel!$H$5,SUMIFS(Data_Panel!$H$6:$H$44,Data_Panel!$A$6:$A$44,B190),IF(A190=Data_Panel!$I$5,SUMIFS(Data_Panel!$I$6:$I$44,Data_Panel!$A$6:$A$44,B190),IF(A190=Data_Panel!$J$5,SUMIFS(Data_Panel!$J$6:$J$44,Data_Panel!$A$6:$A$44,B190),"period not in panel"))))))))</f>
        <v>114</v>
      </c>
      <c r="M190" s="20" t="n">
        <f aca="false">IF(L190="not in panel",0,ABS(N(L190)-D190))</f>
        <v>0</v>
      </c>
    </row>
    <row r="191" customFormat="false" ht="15" hidden="false" customHeight="false" outlineLevel="0" collapsed="false">
      <c r="A191" s="6" t="s">
        <v>78</v>
      </c>
      <c r="B191" s="6" t="s">
        <v>81</v>
      </c>
      <c r="C191" s="6" t="s">
        <v>82</v>
      </c>
      <c r="D191" s="18" t="n">
        <v>18114.352911</v>
      </c>
      <c r="E191" s="6" t="s">
        <v>83</v>
      </c>
      <c r="F191" s="6" t="s">
        <v>208</v>
      </c>
      <c r="G191" s="6" t="s">
        <v>209</v>
      </c>
      <c r="H191" s="6"/>
      <c r="I191" s="6" t="s">
        <v>325</v>
      </c>
      <c r="J191" s="6" t="s">
        <v>258</v>
      </c>
      <c r="K191" s="6" t="n">
        <f aca="false">COUNTIFS($A$6:$A$243,A191,$B$6:$B$243,B191)</f>
        <v>1</v>
      </c>
      <c r="L191" s="19" t="n">
        <f aca="false">IF(COUNTIF(Data_Panel!$A$6:$A$44,B191)=0,"not in panel",IF(A191=Data_Panel!$D$5,SUMIFS(Data_Panel!$D$6:$D$44,Data_Panel!$A$6:$A$44,B191),IF(A191=Data_Panel!$E$5,SUMIFS(Data_Panel!$E$6:$E$44,Data_Panel!$A$6:$A$44,B191),IF(A191=Data_Panel!$F$5,SUMIFS(Data_Panel!$F$6:$F$44,Data_Panel!$A$6:$A$44,B191),IF(A191=Data_Panel!$G$5,SUMIFS(Data_Panel!$G$6:$G$44,Data_Panel!$A$6:$A$44,B191),IF(A191=Data_Panel!$H$5,SUMIFS(Data_Panel!$H$6:$H$44,Data_Panel!$A$6:$A$44,B191),IF(A191=Data_Panel!$I$5,SUMIFS(Data_Panel!$I$6:$I$44,Data_Panel!$A$6:$A$44,B191),IF(A191=Data_Panel!$J$5,SUMIFS(Data_Panel!$J$6:$J$44,Data_Panel!$A$6:$A$44,B191),"period not in panel"))))))))</f>
        <v>18114.352911</v>
      </c>
      <c r="M191" s="20" t="n">
        <f aca="false">IF(L191="not in panel",0,ABS(N(L191)-D191))</f>
        <v>0</v>
      </c>
    </row>
    <row r="192" customFormat="false" ht="15" hidden="false" customHeight="false" outlineLevel="0" collapsed="false">
      <c r="A192" s="6" t="s">
        <v>78</v>
      </c>
      <c r="B192" s="6" t="s">
        <v>85</v>
      </c>
      <c r="C192" s="6" t="s">
        <v>86</v>
      </c>
      <c r="D192" s="18" t="n">
        <v>-16427.363927</v>
      </c>
      <c r="E192" s="6" t="s">
        <v>83</v>
      </c>
      <c r="F192" s="6" t="s">
        <v>208</v>
      </c>
      <c r="G192" s="6" t="s">
        <v>209</v>
      </c>
      <c r="H192" s="6"/>
      <c r="I192" s="6" t="s">
        <v>325</v>
      </c>
      <c r="J192" s="6" t="s">
        <v>258</v>
      </c>
      <c r="K192" s="6" t="n">
        <f aca="false">COUNTIFS($A$6:$A$243,A192,$B$6:$B$243,B192)</f>
        <v>1</v>
      </c>
      <c r="L192" s="19" t="n">
        <f aca="false">IF(COUNTIF(Data_Panel!$A$6:$A$44,B192)=0,"not in panel",IF(A192=Data_Panel!$D$5,SUMIFS(Data_Panel!$D$6:$D$44,Data_Panel!$A$6:$A$44,B192),IF(A192=Data_Panel!$E$5,SUMIFS(Data_Panel!$E$6:$E$44,Data_Panel!$A$6:$A$44,B192),IF(A192=Data_Panel!$F$5,SUMIFS(Data_Panel!$F$6:$F$44,Data_Panel!$A$6:$A$44,B192),IF(A192=Data_Panel!$G$5,SUMIFS(Data_Panel!$G$6:$G$44,Data_Panel!$A$6:$A$44,B192),IF(A192=Data_Panel!$H$5,SUMIFS(Data_Panel!$H$6:$H$44,Data_Panel!$A$6:$A$44,B192),IF(A192=Data_Panel!$I$5,SUMIFS(Data_Panel!$I$6:$I$44,Data_Panel!$A$6:$A$44,B192),IF(A192=Data_Panel!$J$5,SUMIFS(Data_Panel!$J$6:$J$44,Data_Panel!$A$6:$A$44,B192),"period not in panel"))))))))</f>
        <v>-16427.363927</v>
      </c>
      <c r="M192" s="20" t="n">
        <f aca="false">IF(L192="not in panel",0,ABS(N(L192)-D192))</f>
        <v>0</v>
      </c>
    </row>
    <row r="193" customFormat="false" ht="15" hidden="false" customHeight="false" outlineLevel="0" collapsed="false">
      <c r="A193" s="6" t="s">
        <v>78</v>
      </c>
      <c r="B193" s="6" t="s">
        <v>87</v>
      </c>
      <c r="C193" s="6" t="s">
        <v>88</v>
      </c>
      <c r="D193" s="18" t="n">
        <v>1686.988983</v>
      </c>
      <c r="E193" s="6" t="s">
        <v>83</v>
      </c>
      <c r="F193" s="6" t="s">
        <v>208</v>
      </c>
      <c r="G193" s="6" t="s">
        <v>209</v>
      </c>
      <c r="H193" s="6"/>
      <c r="I193" s="6" t="s">
        <v>325</v>
      </c>
      <c r="J193" s="6" t="s">
        <v>258</v>
      </c>
      <c r="K193" s="6" t="n">
        <f aca="false">COUNTIFS($A$6:$A$243,A193,$B$6:$B$243,B193)</f>
        <v>1</v>
      </c>
      <c r="L193" s="19" t="n">
        <f aca="false">IF(COUNTIF(Data_Panel!$A$6:$A$44,B193)=0,"not in panel",IF(A193=Data_Panel!$D$5,SUMIFS(Data_Panel!$D$6:$D$44,Data_Panel!$A$6:$A$44,B193),IF(A193=Data_Panel!$E$5,SUMIFS(Data_Panel!$E$6:$E$44,Data_Panel!$A$6:$A$44,B193),IF(A193=Data_Panel!$F$5,SUMIFS(Data_Panel!$F$6:$F$44,Data_Panel!$A$6:$A$44,B193),IF(A193=Data_Panel!$G$5,SUMIFS(Data_Panel!$G$6:$G$44,Data_Panel!$A$6:$A$44,B193),IF(A193=Data_Panel!$H$5,SUMIFS(Data_Panel!$H$6:$H$44,Data_Panel!$A$6:$A$44,B193),IF(A193=Data_Panel!$I$5,SUMIFS(Data_Panel!$I$6:$I$44,Data_Panel!$A$6:$A$44,B193),IF(A193=Data_Panel!$J$5,SUMIFS(Data_Panel!$J$6:$J$44,Data_Panel!$A$6:$A$44,B193),"period not in panel"))))))))</f>
        <v>1686.988983</v>
      </c>
      <c r="M193" s="20" t="n">
        <f aca="false">IF(L193="not in panel",0,ABS(N(L193)-D193))</f>
        <v>0</v>
      </c>
    </row>
    <row r="194" customFormat="false" ht="15" hidden="false" customHeight="false" outlineLevel="0" collapsed="false">
      <c r="A194" s="6" t="s">
        <v>78</v>
      </c>
      <c r="B194" s="6" t="s">
        <v>89</v>
      </c>
      <c r="C194" s="6" t="s">
        <v>90</v>
      </c>
      <c r="D194" s="18" t="n">
        <v>-1485.268479</v>
      </c>
      <c r="E194" s="6" t="s">
        <v>83</v>
      </c>
      <c r="F194" s="6" t="s">
        <v>208</v>
      </c>
      <c r="G194" s="6" t="s">
        <v>209</v>
      </c>
      <c r="H194" s="6"/>
      <c r="I194" s="6" t="s">
        <v>325</v>
      </c>
      <c r="J194" s="6" t="s">
        <v>258</v>
      </c>
      <c r="K194" s="6" t="n">
        <f aca="false">COUNTIFS($A$6:$A$243,A194,$B$6:$B$243,B194)</f>
        <v>1</v>
      </c>
      <c r="L194" s="19" t="n">
        <f aca="false">IF(COUNTIF(Data_Panel!$A$6:$A$44,B194)=0,"not in panel",IF(A194=Data_Panel!$D$5,SUMIFS(Data_Panel!$D$6:$D$44,Data_Panel!$A$6:$A$44,B194),IF(A194=Data_Panel!$E$5,SUMIFS(Data_Panel!$E$6:$E$44,Data_Panel!$A$6:$A$44,B194),IF(A194=Data_Panel!$F$5,SUMIFS(Data_Panel!$F$6:$F$44,Data_Panel!$A$6:$A$44,B194),IF(A194=Data_Panel!$G$5,SUMIFS(Data_Panel!$G$6:$G$44,Data_Panel!$A$6:$A$44,B194),IF(A194=Data_Panel!$H$5,SUMIFS(Data_Panel!$H$6:$H$44,Data_Panel!$A$6:$A$44,B194),IF(A194=Data_Panel!$I$5,SUMIFS(Data_Panel!$I$6:$I$44,Data_Panel!$A$6:$A$44,B194),IF(A194=Data_Panel!$J$5,SUMIFS(Data_Panel!$J$6:$J$44,Data_Panel!$A$6:$A$44,B194),"period not in panel"))))))))</f>
        <v>-1485.268479</v>
      </c>
      <c r="M194" s="20" t="n">
        <f aca="false">IF(L194="not in panel",0,ABS(N(L194)-D194))</f>
        <v>0</v>
      </c>
    </row>
    <row r="195" customFormat="false" ht="15" hidden="false" customHeight="false" outlineLevel="0" collapsed="false">
      <c r="A195" s="6" t="s">
        <v>78</v>
      </c>
      <c r="B195" s="6" t="s">
        <v>91</v>
      </c>
      <c r="C195" s="6" t="s">
        <v>92</v>
      </c>
      <c r="D195" s="18" t="n">
        <v>-920.810086</v>
      </c>
      <c r="E195" s="6" t="s">
        <v>83</v>
      </c>
      <c r="F195" s="6" t="s">
        <v>208</v>
      </c>
      <c r="G195" s="6" t="s">
        <v>209</v>
      </c>
      <c r="H195" s="6"/>
      <c r="I195" s="6" t="s">
        <v>325</v>
      </c>
      <c r="J195" s="6" t="s">
        <v>258</v>
      </c>
      <c r="K195" s="6" t="n">
        <f aca="false">COUNTIFS($A$6:$A$243,A195,$B$6:$B$243,B195)</f>
        <v>1</v>
      </c>
      <c r="L195" s="19" t="n">
        <f aca="false">IF(COUNTIF(Data_Panel!$A$6:$A$44,B195)=0,"not in panel",IF(A195=Data_Panel!$D$5,SUMIFS(Data_Panel!$D$6:$D$44,Data_Panel!$A$6:$A$44,B195),IF(A195=Data_Panel!$E$5,SUMIFS(Data_Panel!$E$6:$E$44,Data_Panel!$A$6:$A$44,B195),IF(A195=Data_Panel!$F$5,SUMIFS(Data_Panel!$F$6:$F$44,Data_Panel!$A$6:$A$44,B195),IF(A195=Data_Panel!$G$5,SUMIFS(Data_Panel!$G$6:$G$44,Data_Panel!$A$6:$A$44,B195),IF(A195=Data_Panel!$H$5,SUMIFS(Data_Panel!$H$6:$H$44,Data_Panel!$A$6:$A$44,B195),IF(A195=Data_Panel!$I$5,SUMIFS(Data_Panel!$I$6:$I$44,Data_Panel!$A$6:$A$44,B195),IF(A195=Data_Panel!$J$5,SUMIFS(Data_Panel!$J$6:$J$44,Data_Panel!$A$6:$A$44,B195),"period not in panel"))))))))</f>
        <v>-920.810086</v>
      </c>
      <c r="M195" s="20" t="n">
        <f aca="false">IF(L195="not in panel",0,ABS(N(L195)-D195))</f>
        <v>0</v>
      </c>
    </row>
    <row r="196" customFormat="false" ht="15" hidden="false" customHeight="false" outlineLevel="0" collapsed="false">
      <c r="A196" s="6" t="s">
        <v>78</v>
      </c>
      <c r="B196" s="6" t="s">
        <v>93</v>
      </c>
      <c r="C196" s="6" t="s">
        <v>94</v>
      </c>
      <c r="D196" s="18" t="n">
        <v>125.582254</v>
      </c>
      <c r="E196" s="6" t="s">
        <v>83</v>
      </c>
      <c r="F196" s="6" t="s">
        <v>208</v>
      </c>
      <c r="G196" s="6" t="s">
        <v>209</v>
      </c>
      <c r="H196" s="6"/>
      <c r="I196" s="6" t="s">
        <v>325</v>
      </c>
      <c r="J196" s="6" t="s">
        <v>258</v>
      </c>
      <c r="K196" s="6" t="n">
        <f aca="false">COUNTIFS($A$6:$A$243,A196,$B$6:$B$243,B196)</f>
        <v>1</v>
      </c>
      <c r="L196" s="19" t="n">
        <f aca="false">IF(COUNTIF(Data_Panel!$A$6:$A$44,B196)=0,"not in panel",IF(A196=Data_Panel!$D$5,SUMIFS(Data_Panel!$D$6:$D$44,Data_Panel!$A$6:$A$44,B196),IF(A196=Data_Panel!$E$5,SUMIFS(Data_Panel!$E$6:$E$44,Data_Panel!$A$6:$A$44,B196),IF(A196=Data_Panel!$F$5,SUMIFS(Data_Panel!$F$6:$F$44,Data_Panel!$A$6:$A$44,B196),IF(A196=Data_Panel!$G$5,SUMIFS(Data_Panel!$G$6:$G$44,Data_Panel!$A$6:$A$44,B196),IF(A196=Data_Panel!$H$5,SUMIFS(Data_Panel!$H$6:$H$44,Data_Panel!$A$6:$A$44,B196),IF(A196=Data_Panel!$I$5,SUMIFS(Data_Panel!$I$6:$I$44,Data_Panel!$A$6:$A$44,B196),IF(A196=Data_Panel!$J$5,SUMIFS(Data_Panel!$J$6:$J$44,Data_Panel!$A$6:$A$44,B196),"period not in panel"))))))))</f>
        <v>125.582254</v>
      </c>
      <c r="M196" s="20" t="n">
        <f aca="false">IF(L196="not in panel",0,ABS(N(L196)-D196))</f>
        <v>0</v>
      </c>
    </row>
    <row r="197" customFormat="false" ht="15" hidden="false" customHeight="false" outlineLevel="0" collapsed="false">
      <c r="A197" s="6" t="s">
        <v>78</v>
      </c>
      <c r="B197" s="6" t="s">
        <v>95</v>
      </c>
      <c r="C197" s="6" t="s">
        <v>230</v>
      </c>
      <c r="D197" s="18" t="n">
        <v>-593.507328</v>
      </c>
      <c r="E197" s="6" t="s">
        <v>83</v>
      </c>
      <c r="F197" s="6" t="s">
        <v>208</v>
      </c>
      <c r="G197" s="6" t="s">
        <v>209</v>
      </c>
      <c r="H197" s="6"/>
      <c r="I197" s="6" t="s">
        <v>325</v>
      </c>
      <c r="J197" s="6" t="s">
        <v>258</v>
      </c>
      <c r="K197" s="6" t="n">
        <f aca="false">COUNTIFS($A$6:$A$243,A197,$B$6:$B$243,B197)</f>
        <v>1</v>
      </c>
      <c r="L197" s="19" t="n">
        <f aca="false">IF(COUNTIF(Data_Panel!$A$6:$A$44,B197)=0,"not in panel",IF(A197=Data_Panel!$D$5,SUMIFS(Data_Panel!$D$6:$D$44,Data_Panel!$A$6:$A$44,B197),IF(A197=Data_Panel!$E$5,SUMIFS(Data_Panel!$E$6:$E$44,Data_Panel!$A$6:$A$44,B197),IF(A197=Data_Panel!$F$5,SUMIFS(Data_Panel!$F$6:$F$44,Data_Panel!$A$6:$A$44,B197),IF(A197=Data_Panel!$G$5,SUMIFS(Data_Panel!$G$6:$G$44,Data_Panel!$A$6:$A$44,B197),IF(A197=Data_Panel!$H$5,SUMIFS(Data_Panel!$H$6:$H$44,Data_Panel!$A$6:$A$44,B197),IF(A197=Data_Panel!$I$5,SUMIFS(Data_Panel!$I$6:$I$44,Data_Panel!$A$6:$A$44,B197),IF(A197=Data_Panel!$J$5,SUMIFS(Data_Panel!$J$6:$J$44,Data_Panel!$A$6:$A$44,B197),"period not in panel"))))))))</f>
        <v>-593.507328</v>
      </c>
      <c r="M197" s="20" t="n">
        <f aca="false">IF(L197="not in panel",0,ABS(N(L197)-D197))</f>
        <v>0</v>
      </c>
    </row>
    <row r="198" customFormat="false" ht="15" hidden="false" customHeight="false" outlineLevel="0" collapsed="false">
      <c r="A198" s="6" t="s">
        <v>78</v>
      </c>
      <c r="B198" s="6" t="s">
        <v>165</v>
      </c>
      <c r="C198" s="6" t="s">
        <v>240</v>
      </c>
      <c r="D198" s="18" t="n">
        <v>133058</v>
      </c>
      <c r="E198" s="6" t="s">
        <v>167</v>
      </c>
      <c r="F198" s="6" t="s">
        <v>208</v>
      </c>
      <c r="G198" s="6" t="s">
        <v>209</v>
      </c>
      <c r="H198" s="6"/>
      <c r="I198" s="6" t="s">
        <v>325</v>
      </c>
      <c r="J198" s="6" t="s">
        <v>260</v>
      </c>
      <c r="K198" s="6" t="n">
        <f aca="false">COUNTIFS($A$6:$A$243,A198,$B$6:$B$243,B198)</f>
        <v>1</v>
      </c>
      <c r="L198" s="19" t="n">
        <f aca="false">IF(COUNTIF(Data_Panel!$A$6:$A$44,B198)=0,"not in panel",IF(A198=Data_Panel!$D$5,SUMIFS(Data_Panel!$D$6:$D$44,Data_Panel!$A$6:$A$44,B198),IF(A198=Data_Panel!$E$5,SUMIFS(Data_Panel!$E$6:$E$44,Data_Panel!$A$6:$A$44,B198),IF(A198=Data_Panel!$F$5,SUMIFS(Data_Panel!$F$6:$F$44,Data_Panel!$A$6:$A$44,B198),IF(A198=Data_Panel!$G$5,SUMIFS(Data_Panel!$G$6:$G$44,Data_Panel!$A$6:$A$44,B198),IF(A198=Data_Panel!$H$5,SUMIFS(Data_Panel!$H$6:$H$44,Data_Panel!$A$6:$A$44,B198),IF(A198=Data_Panel!$I$5,SUMIFS(Data_Panel!$I$6:$I$44,Data_Panel!$A$6:$A$44,B198),IF(A198=Data_Panel!$J$5,SUMIFS(Data_Panel!$J$6:$J$44,Data_Panel!$A$6:$A$44,B198),"period not in panel"))))))))</f>
        <v>133058</v>
      </c>
      <c r="M198" s="20" t="n">
        <f aca="false">IF(L198="not in panel",0,ABS(N(L198)-D198))</f>
        <v>0</v>
      </c>
    </row>
    <row r="199" customFormat="false" ht="15" hidden="false" customHeight="false" outlineLevel="0" collapsed="false">
      <c r="A199" s="6" t="s">
        <v>78</v>
      </c>
      <c r="B199" s="6" t="s">
        <v>168</v>
      </c>
      <c r="C199" s="6" t="s">
        <v>169</v>
      </c>
      <c r="D199" s="18" t="n">
        <v>130521</v>
      </c>
      <c r="E199" s="6" t="s">
        <v>167</v>
      </c>
      <c r="F199" s="6" t="s">
        <v>208</v>
      </c>
      <c r="G199" s="6" t="s">
        <v>209</v>
      </c>
      <c r="H199" s="6"/>
      <c r="I199" s="6" t="s">
        <v>325</v>
      </c>
      <c r="J199" s="6" t="s">
        <v>260</v>
      </c>
      <c r="K199" s="6" t="n">
        <f aca="false">COUNTIFS($A$6:$A$243,A199,$B$6:$B$243,B199)</f>
        <v>1</v>
      </c>
      <c r="L199" s="19" t="n">
        <f aca="false">IF(COUNTIF(Data_Panel!$A$6:$A$44,B199)=0,"not in panel",IF(A199=Data_Panel!$D$5,SUMIFS(Data_Panel!$D$6:$D$44,Data_Panel!$A$6:$A$44,B199),IF(A199=Data_Panel!$E$5,SUMIFS(Data_Panel!$E$6:$E$44,Data_Panel!$A$6:$A$44,B199),IF(A199=Data_Panel!$F$5,SUMIFS(Data_Panel!$F$6:$F$44,Data_Panel!$A$6:$A$44,B199),IF(A199=Data_Panel!$G$5,SUMIFS(Data_Panel!$G$6:$G$44,Data_Panel!$A$6:$A$44,B199),IF(A199=Data_Panel!$H$5,SUMIFS(Data_Panel!$H$6:$H$44,Data_Panel!$A$6:$A$44,B199),IF(A199=Data_Panel!$I$5,SUMIFS(Data_Panel!$I$6:$I$44,Data_Panel!$A$6:$A$44,B199),IF(A199=Data_Panel!$J$5,SUMIFS(Data_Panel!$J$6:$J$44,Data_Panel!$A$6:$A$44,B199),"period not in panel"))))))))</f>
        <v>130521</v>
      </c>
      <c r="M199" s="20" t="n">
        <f aca="false">IF(L199="not in panel",0,ABS(N(L199)-D199))</f>
        <v>0</v>
      </c>
    </row>
    <row r="200" customFormat="false" ht="15" hidden="false" customHeight="false" outlineLevel="0" collapsed="false">
      <c r="A200" s="6" t="s">
        <v>78</v>
      </c>
      <c r="B200" s="6" t="s">
        <v>140</v>
      </c>
      <c r="C200" s="6" t="s">
        <v>141</v>
      </c>
      <c r="D200" s="18" t="n">
        <v>2400</v>
      </c>
      <c r="E200" s="6" t="s">
        <v>83</v>
      </c>
      <c r="F200" s="6" t="s">
        <v>208</v>
      </c>
      <c r="G200" s="6" t="s">
        <v>209</v>
      </c>
      <c r="H200" s="6"/>
      <c r="I200" s="6" t="s">
        <v>324</v>
      </c>
      <c r="J200" s="6" t="s">
        <v>329</v>
      </c>
      <c r="K200" s="6" t="n">
        <f aca="false">COUNTIFS($A$6:$A$243,A200,$B$6:$B$243,B200)</f>
        <v>1</v>
      </c>
      <c r="L200" s="19" t="n">
        <f aca="false">IF(COUNTIF(Data_Panel!$A$6:$A$44,B200)=0,"not in panel",IF(A200=Data_Panel!$D$5,SUMIFS(Data_Panel!$D$6:$D$44,Data_Panel!$A$6:$A$44,B200),IF(A200=Data_Panel!$E$5,SUMIFS(Data_Panel!$E$6:$E$44,Data_Panel!$A$6:$A$44,B200),IF(A200=Data_Panel!$F$5,SUMIFS(Data_Panel!$F$6:$F$44,Data_Panel!$A$6:$A$44,B200),IF(A200=Data_Panel!$G$5,SUMIFS(Data_Panel!$G$6:$G$44,Data_Panel!$A$6:$A$44,B200),IF(A200=Data_Panel!$H$5,SUMIFS(Data_Panel!$H$6:$H$44,Data_Panel!$A$6:$A$44,B200),IF(A200=Data_Panel!$I$5,SUMIFS(Data_Panel!$I$6:$I$44,Data_Panel!$A$6:$A$44,B200),IF(A200=Data_Panel!$J$5,SUMIFS(Data_Panel!$J$6:$J$44,Data_Panel!$A$6:$A$44,B200),"period not in panel"))))))))</f>
        <v>2400</v>
      </c>
      <c r="M200" s="20" t="n">
        <f aca="false">IF(L200="not in panel",0,ABS(N(L200)-D200))</f>
        <v>0</v>
      </c>
    </row>
    <row r="201" customFormat="false" ht="15" hidden="false" customHeight="false" outlineLevel="0" collapsed="false">
      <c r="A201" s="6" t="s">
        <v>78</v>
      </c>
      <c r="B201" s="6" t="s">
        <v>142</v>
      </c>
      <c r="C201" s="6" t="s">
        <v>320</v>
      </c>
      <c r="D201" s="18" t="n">
        <v>300</v>
      </c>
      <c r="E201" s="6" t="s">
        <v>83</v>
      </c>
      <c r="F201" s="6" t="s">
        <v>208</v>
      </c>
      <c r="G201" s="6" t="s">
        <v>209</v>
      </c>
      <c r="H201" s="6"/>
      <c r="I201" s="6" t="s">
        <v>330</v>
      </c>
      <c r="J201" s="6" t="s">
        <v>329</v>
      </c>
      <c r="K201" s="6" t="n">
        <f aca="false">COUNTIFS($A$6:$A$243,A201,$B$6:$B$243,B201)</f>
        <v>1</v>
      </c>
      <c r="L201" s="19" t="n">
        <f aca="false">IF(COUNTIF(Data_Panel!$A$6:$A$44,B201)=0,"not in panel",IF(A201=Data_Panel!$D$5,SUMIFS(Data_Panel!$D$6:$D$44,Data_Panel!$A$6:$A$44,B201),IF(A201=Data_Panel!$E$5,SUMIFS(Data_Panel!$E$6:$E$44,Data_Panel!$A$6:$A$44,B201),IF(A201=Data_Panel!$F$5,SUMIFS(Data_Panel!$F$6:$F$44,Data_Panel!$A$6:$A$44,B201),IF(A201=Data_Panel!$G$5,SUMIFS(Data_Panel!$G$6:$G$44,Data_Panel!$A$6:$A$44,B201),IF(A201=Data_Panel!$H$5,SUMIFS(Data_Panel!$H$6:$H$44,Data_Panel!$A$6:$A$44,B201),IF(A201=Data_Panel!$I$5,SUMIFS(Data_Panel!$I$6:$I$44,Data_Panel!$A$6:$A$44,B201),IF(A201=Data_Panel!$J$5,SUMIFS(Data_Panel!$J$6:$J$44,Data_Panel!$A$6:$A$44,B201),"period not in panel"))))))))</f>
        <v>300</v>
      </c>
      <c r="M201" s="20" t="n">
        <f aca="false">IF(L201="not in panel",0,ABS(N(L201)-D201))</f>
        <v>0</v>
      </c>
    </row>
    <row r="202" customFormat="false" ht="15" hidden="false" customHeight="false" outlineLevel="0" collapsed="false">
      <c r="A202" s="6" t="s">
        <v>78</v>
      </c>
      <c r="B202" s="6" t="s">
        <v>145</v>
      </c>
      <c r="C202" s="6" t="s">
        <v>146</v>
      </c>
      <c r="D202" s="18" t="n">
        <v>300</v>
      </c>
      <c r="E202" s="6" t="s">
        <v>83</v>
      </c>
      <c r="F202" s="6" t="s">
        <v>208</v>
      </c>
      <c r="G202" s="6" t="s">
        <v>209</v>
      </c>
      <c r="H202" s="6"/>
      <c r="I202" s="6" t="s">
        <v>330</v>
      </c>
      <c r="J202" s="6" t="s">
        <v>329</v>
      </c>
      <c r="K202" s="6" t="n">
        <f aca="false">COUNTIFS($A$6:$A$243,A202,$B$6:$B$243,B202)</f>
        <v>1</v>
      </c>
      <c r="L202" s="19" t="n">
        <f aca="false">IF(COUNTIF(Data_Panel!$A$6:$A$44,B202)=0,"not in panel",IF(A202=Data_Panel!$D$5,SUMIFS(Data_Panel!$D$6:$D$44,Data_Panel!$A$6:$A$44,B202),IF(A202=Data_Panel!$E$5,SUMIFS(Data_Panel!$E$6:$E$44,Data_Panel!$A$6:$A$44,B202),IF(A202=Data_Panel!$F$5,SUMIFS(Data_Panel!$F$6:$F$44,Data_Panel!$A$6:$A$44,B202),IF(A202=Data_Panel!$G$5,SUMIFS(Data_Panel!$G$6:$G$44,Data_Panel!$A$6:$A$44,B202),IF(A202=Data_Panel!$H$5,SUMIFS(Data_Panel!$H$6:$H$44,Data_Panel!$A$6:$A$44,B202),IF(A202=Data_Panel!$I$5,SUMIFS(Data_Panel!$I$6:$I$44,Data_Panel!$A$6:$A$44,B202),IF(A202=Data_Panel!$J$5,SUMIFS(Data_Panel!$J$6:$J$44,Data_Panel!$A$6:$A$44,B202),"period not in panel"))))))))</f>
        <v>300</v>
      </c>
      <c r="M202" s="20" t="n">
        <f aca="false">IF(L202="not in panel",0,ABS(N(L202)-D202))</f>
        <v>0</v>
      </c>
    </row>
    <row r="203" customFormat="false" ht="15" hidden="false" customHeight="false" outlineLevel="0" collapsed="false">
      <c r="A203" s="6" t="s">
        <v>78</v>
      </c>
      <c r="B203" s="6" t="s">
        <v>151</v>
      </c>
      <c r="C203" s="6" t="s">
        <v>249</v>
      </c>
      <c r="D203" s="18" t="n">
        <v>900</v>
      </c>
      <c r="E203" s="6" t="s">
        <v>83</v>
      </c>
      <c r="F203" s="6" t="s">
        <v>208</v>
      </c>
      <c r="G203" s="6" t="s">
        <v>209</v>
      </c>
      <c r="H203" s="6"/>
      <c r="I203" s="6" t="s">
        <v>331</v>
      </c>
      <c r="J203" s="6" t="s">
        <v>252</v>
      </c>
      <c r="K203" s="6" t="n">
        <f aca="false">COUNTIFS($A$6:$A$243,A203,$B$6:$B$243,B203)</f>
        <v>1</v>
      </c>
      <c r="L203" s="19" t="n">
        <f aca="false">IF(COUNTIF(Data_Panel!$A$6:$A$44,B203)=0,"not in panel",IF(A203=Data_Panel!$D$5,SUMIFS(Data_Panel!$D$6:$D$44,Data_Panel!$A$6:$A$44,B203),IF(A203=Data_Panel!$E$5,SUMIFS(Data_Panel!$E$6:$E$44,Data_Panel!$A$6:$A$44,B203),IF(A203=Data_Panel!$F$5,SUMIFS(Data_Panel!$F$6:$F$44,Data_Panel!$A$6:$A$44,B203),IF(A203=Data_Panel!$G$5,SUMIFS(Data_Panel!$G$6:$G$44,Data_Panel!$A$6:$A$44,B203),IF(A203=Data_Panel!$H$5,SUMIFS(Data_Panel!$H$6:$H$44,Data_Panel!$A$6:$A$44,B203),IF(A203=Data_Panel!$I$5,SUMIFS(Data_Panel!$I$6:$I$44,Data_Panel!$A$6:$A$44,B203),IF(A203=Data_Panel!$J$5,SUMIFS(Data_Panel!$J$6:$J$44,Data_Panel!$A$6:$A$44,B203),"period not in panel"))))))))</f>
        <v>900</v>
      </c>
      <c r="M203" s="20" t="n">
        <f aca="false">IF(L203="not in panel",0,ABS(N(L203)-D203))</f>
        <v>0</v>
      </c>
    </row>
    <row r="204" customFormat="false" ht="15" hidden="false" customHeight="false" outlineLevel="0" collapsed="false">
      <c r="A204" s="6" t="s">
        <v>79</v>
      </c>
      <c r="B204" s="6" t="s">
        <v>97</v>
      </c>
      <c r="C204" s="6" t="s">
        <v>98</v>
      </c>
      <c r="D204" s="18" t="n">
        <v>15158</v>
      </c>
      <c r="E204" s="6" t="s">
        <v>83</v>
      </c>
      <c r="F204" s="6" t="s">
        <v>193</v>
      </c>
      <c r="G204" s="6" t="s">
        <v>194</v>
      </c>
      <c r="H204" s="6" t="s">
        <v>332</v>
      </c>
      <c r="I204" s="6" t="s">
        <v>333</v>
      </c>
      <c r="J204" s="6" t="s">
        <v>197</v>
      </c>
      <c r="K204" s="6" t="n">
        <f aca="false">COUNTIFS($A$6:$A$243,A204,$B$6:$B$243,B204)</f>
        <v>1</v>
      </c>
      <c r="L204" s="19" t="n">
        <f aca="false">IF(COUNTIF(Data_Panel!$A$6:$A$44,B204)=0,"not in panel",IF(A204=Data_Panel!$D$5,SUMIFS(Data_Panel!$D$6:$D$44,Data_Panel!$A$6:$A$44,B204),IF(A204=Data_Panel!$E$5,SUMIFS(Data_Panel!$E$6:$E$44,Data_Panel!$A$6:$A$44,B204),IF(A204=Data_Panel!$F$5,SUMIFS(Data_Panel!$F$6:$F$44,Data_Panel!$A$6:$A$44,B204),IF(A204=Data_Panel!$G$5,SUMIFS(Data_Panel!$G$6:$G$44,Data_Panel!$A$6:$A$44,B204),IF(A204=Data_Panel!$H$5,SUMIFS(Data_Panel!$H$6:$H$44,Data_Panel!$A$6:$A$44,B204),IF(A204=Data_Panel!$I$5,SUMIFS(Data_Panel!$I$6:$I$44,Data_Panel!$A$6:$A$44,B204),IF(A204=Data_Panel!$J$5,SUMIFS(Data_Panel!$J$6:$J$44,Data_Panel!$A$6:$A$44,B204),"period not in panel"))))))))</f>
        <v>15158</v>
      </c>
      <c r="M204" s="20" t="n">
        <f aca="false">IF(L204="not in panel",0,ABS(N(L204)-D204))</f>
        <v>0</v>
      </c>
    </row>
    <row r="205" customFormat="false" ht="15" hidden="false" customHeight="false" outlineLevel="0" collapsed="false">
      <c r="A205" s="6" t="s">
        <v>79</v>
      </c>
      <c r="B205" s="6" t="s">
        <v>100</v>
      </c>
      <c r="C205" s="6" t="s">
        <v>101</v>
      </c>
      <c r="D205" s="18" t="n">
        <v>1208</v>
      </c>
      <c r="E205" s="6" t="s">
        <v>83</v>
      </c>
      <c r="F205" s="6" t="s">
        <v>193</v>
      </c>
      <c r="G205" s="6" t="s">
        <v>194</v>
      </c>
      <c r="H205" s="6" t="s">
        <v>332</v>
      </c>
      <c r="I205" s="6" t="s">
        <v>333</v>
      </c>
      <c r="J205" s="6" t="s">
        <v>197</v>
      </c>
      <c r="K205" s="6" t="n">
        <f aca="false">COUNTIFS($A$6:$A$243,A205,$B$6:$B$243,B205)</f>
        <v>1</v>
      </c>
      <c r="L205" s="19" t="n">
        <f aca="false">IF(COUNTIF(Data_Panel!$A$6:$A$44,B205)=0,"not in panel",IF(A205=Data_Panel!$D$5,SUMIFS(Data_Panel!$D$6:$D$44,Data_Panel!$A$6:$A$44,B205),IF(A205=Data_Panel!$E$5,SUMIFS(Data_Panel!$E$6:$E$44,Data_Panel!$A$6:$A$44,B205),IF(A205=Data_Panel!$F$5,SUMIFS(Data_Panel!$F$6:$F$44,Data_Panel!$A$6:$A$44,B205),IF(A205=Data_Panel!$G$5,SUMIFS(Data_Panel!$G$6:$G$44,Data_Panel!$A$6:$A$44,B205),IF(A205=Data_Panel!$H$5,SUMIFS(Data_Panel!$H$6:$H$44,Data_Panel!$A$6:$A$44,B205),IF(A205=Data_Panel!$I$5,SUMIFS(Data_Panel!$I$6:$I$44,Data_Panel!$A$6:$A$44,B205),IF(A205=Data_Panel!$J$5,SUMIFS(Data_Panel!$J$6:$J$44,Data_Panel!$A$6:$A$44,B205),"period not in panel"))))))))</f>
        <v>1208</v>
      </c>
      <c r="M205" s="20" t="n">
        <f aca="false">IF(L205="not in panel",0,ABS(N(L205)-D205))</f>
        <v>0</v>
      </c>
    </row>
    <row r="206" customFormat="false" ht="15" hidden="false" customHeight="false" outlineLevel="0" collapsed="false">
      <c r="A206" s="6" t="s">
        <v>79</v>
      </c>
      <c r="B206" s="6" t="s">
        <v>102</v>
      </c>
      <c r="C206" s="6" t="s">
        <v>103</v>
      </c>
      <c r="D206" s="18" t="n">
        <v>2767</v>
      </c>
      <c r="E206" s="6" t="s">
        <v>83</v>
      </c>
      <c r="F206" s="6" t="s">
        <v>193</v>
      </c>
      <c r="G206" s="6" t="s">
        <v>194</v>
      </c>
      <c r="H206" s="6" t="s">
        <v>332</v>
      </c>
      <c r="I206" s="6" t="s">
        <v>333</v>
      </c>
      <c r="J206" s="6" t="s">
        <v>197</v>
      </c>
      <c r="K206" s="6" t="n">
        <f aca="false">COUNTIFS($A$6:$A$243,A206,$B$6:$B$243,B206)</f>
        <v>1</v>
      </c>
      <c r="L206" s="19" t="n">
        <f aca="false">IF(COUNTIF(Data_Panel!$A$6:$A$44,B206)=0,"not in panel",IF(A206=Data_Panel!$D$5,SUMIFS(Data_Panel!$D$6:$D$44,Data_Panel!$A$6:$A$44,B206),IF(A206=Data_Panel!$E$5,SUMIFS(Data_Panel!$E$6:$E$44,Data_Panel!$A$6:$A$44,B206),IF(A206=Data_Panel!$F$5,SUMIFS(Data_Panel!$F$6:$F$44,Data_Panel!$A$6:$A$44,B206),IF(A206=Data_Panel!$G$5,SUMIFS(Data_Panel!$G$6:$G$44,Data_Panel!$A$6:$A$44,B206),IF(A206=Data_Panel!$H$5,SUMIFS(Data_Panel!$H$6:$H$44,Data_Panel!$A$6:$A$44,B206),IF(A206=Data_Panel!$I$5,SUMIFS(Data_Panel!$I$6:$I$44,Data_Panel!$A$6:$A$44,B206),IF(A206=Data_Panel!$J$5,SUMIFS(Data_Panel!$J$6:$J$44,Data_Panel!$A$6:$A$44,B206),"period not in panel"))))))))</f>
        <v>2767</v>
      </c>
      <c r="M206" s="20" t="n">
        <f aca="false">IF(L206="not in panel",0,ABS(N(L206)-D206))</f>
        <v>0</v>
      </c>
    </row>
    <row r="207" customFormat="false" ht="15" hidden="false" customHeight="false" outlineLevel="0" collapsed="false">
      <c r="A207" s="6" t="s">
        <v>79</v>
      </c>
      <c r="B207" s="6" t="s">
        <v>104</v>
      </c>
      <c r="C207" s="6" t="s">
        <v>198</v>
      </c>
      <c r="D207" s="18" t="n">
        <v>18.3</v>
      </c>
      <c r="E207" s="6" t="s">
        <v>106</v>
      </c>
      <c r="F207" s="6" t="s">
        <v>193</v>
      </c>
      <c r="G207" s="6" t="s">
        <v>194</v>
      </c>
      <c r="H207" s="6" t="s">
        <v>332</v>
      </c>
      <c r="I207" s="6" t="s">
        <v>333</v>
      </c>
      <c r="J207" s="6" t="s">
        <v>199</v>
      </c>
      <c r="K207" s="6" t="n">
        <f aca="false">COUNTIFS($A$6:$A$243,A207,$B$6:$B$243,B207)</f>
        <v>1</v>
      </c>
      <c r="L207" s="19" t="n">
        <f aca="false">IF(COUNTIF(Data_Panel!$A$6:$A$44,B207)=0,"not in panel",IF(A207=Data_Panel!$D$5,SUMIFS(Data_Panel!$D$6:$D$44,Data_Panel!$A$6:$A$44,B207),IF(A207=Data_Panel!$E$5,SUMIFS(Data_Panel!$E$6:$E$44,Data_Panel!$A$6:$A$44,B207),IF(A207=Data_Panel!$F$5,SUMIFS(Data_Panel!$F$6:$F$44,Data_Panel!$A$6:$A$44,B207),IF(A207=Data_Panel!$G$5,SUMIFS(Data_Panel!$G$6:$G$44,Data_Panel!$A$6:$A$44,B207),IF(A207=Data_Panel!$H$5,SUMIFS(Data_Panel!$H$6:$H$44,Data_Panel!$A$6:$A$44,B207),IF(A207=Data_Panel!$I$5,SUMIFS(Data_Panel!$I$6:$I$44,Data_Panel!$A$6:$A$44,B207),IF(A207=Data_Panel!$J$5,SUMIFS(Data_Panel!$J$6:$J$44,Data_Panel!$A$6:$A$44,B207),"period not in panel"))))))))</f>
        <v>18.3</v>
      </c>
      <c r="M207" s="20" t="n">
        <f aca="false">IF(L207="not in panel",0,ABS(N(L207)-D207))</f>
        <v>0</v>
      </c>
    </row>
    <row r="208" customFormat="false" ht="15" hidden="false" customHeight="false" outlineLevel="0" collapsed="false">
      <c r="A208" s="6" t="s">
        <v>79</v>
      </c>
      <c r="B208" s="6" t="s">
        <v>108</v>
      </c>
      <c r="C208" s="6" t="s">
        <v>109</v>
      </c>
      <c r="D208" s="18" t="n">
        <v>1116</v>
      </c>
      <c r="E208" s="6" t="s">
        <v>83</v>
      </c>
      <c r="F208" s="6" t="s">
        <v>193</v>
      </c>
      <c r="G208" s="6" t="s">
        <v>194</v>
      </c>
      <c r="H208" s="6" t="s">
        <v>150</v>
      </c>
      <c r="I208" s="6" t="s">
        <v>263</v>
      </c>
      <c r="J208" s="6" t="s">
        <v>197</v>
      </c>
      <c r="K208" s="6" t="n">
        <f aca="false">COUNTIFS($A$6:$A$243,A208,$B$6:$B$243,B208)</f>
        <v>1</v>
      </c>
      <c r="L208" s="19" t="n">
        <f aca="false">IF(COUNTIF(Data_Panel!$A$6:$A$44,B208)=0,"not in panel",IF(A208=Data_Panel!$D$5,SUMIFS(Data_Panel!$D$6:$D$44,Data_Panel!$A$6:$A$44,B208),IF(A208=Data_Panel!$E$5,SUMIFS(Data_Panel!$E$6:$E$44,Data_Panel!$A$6:$A$44,B208),IF(A208=Data_Panel!$F$5,SUMIFS(Data_Panel!$F$6:$F$44,Data_Panel!$A$6:$A$44,B208),IF(A208=Data_Panel!$G$5,SUMIFS(Data_Panel!$G$6:$G$44,Data_Panel!$A$6:$A$44,B208),IF(A208=Data_Panel!$H$5,SUMIFS(Data_Panel!$H$6:$H$44,Data_Panel!$A$6:$A$44,B208),IF(A208=Data_Panel!$I$5,SUMIFS(Data_Panel!$I$6:$I$44,Data_Panel!$A$6:$A$44,B208),IF(A208=Data_Panel!$J$5,SUMIFS(Data_Panel!$J$6:$J$44,Data_Panel!$A$6:$A$44,B208),"period not in panel"))))))))</f>
        <v>1116</v>
      </c>
      <c r="M208" s="20" t="n">
        <f aca="false">IF(L208="not in panel",0,ABS(N(L208)-D208))</f>
        <v>0</v>
      </c>
    </row>
    <row r="209" customFormat="false" ht="15" hidden="false" customHeight="false" outlineLevel="0" collapsed="false">
      <c r="A209" s="6" t="s">
        <v>79</v>
      </c>
      <c r="B209" s="6" t="s">
        <v>111</v>
      </c>
      <c r="C209" s="6" t="s">
        <v>201</v>
      </c>
      <c r="D209" s="18" t="n">
        <v>487</v>
      </c>
      <c r="E209" s="6" t="s">
        <v>83</v>
      </c>
      <c r="F209" s="6" t="s">
        <v>193</v>
      </c>
      <c r="G209" s="6" t="s">
        <v>194</v>
      </c>
      <c r="H209" s="6" t="s">
        <v>150</v>
      </c>
      <c r="I209" s="6" t="s">
        <v>263</v>
      </c>
      <c r="J209" s="6" t="s">
        <v>197</v>
      </c>
      <c r="K209" s="6" t="n">
        <f aca="false">COUNTIFS($A$6:$A$243,A209,$B$6:$B$243,B209)</f>
        <v>1</v>
      </c>
      <c r="L209" s="19" t="n">
        <f aca="false">IF(COUNTIF(Data_Panel!$A$6:$A$44,B209)=0,"not in panel",IF(A209=Data_Panel!$D$5,SUMIFS(Data_Panel!$D$6:$D$44,Data_Panel!$A$6:$A$44,B209),IF(A209=Data_Panel!$E$5,SUMIFS(Data_Panel!$E$6:$E$44,Data_Panel!$A$6:$A$44,B209),IF(A209=Data_Panel!$F$5,SUMIFS(Data_Panel!$F$6:$F$44,Data_Panel!$A$6:$A$44,B209),IF(A209=Data_Panel!$G$5,SUMIFS(Data_Panel!$G$6:$G$44,Data_Panel!$A$6:$A$44,B209),IF(A209=Data_Panel!$H$5,SUMIFS(Data_Panel!$H$6:$H$44,Data_Panel!$A$6:$A$44,B209),IF(A209=Data_Panel!$I$5,SUMIFS(Data_Panel!$I$6:$I$44,Data_Panel!$A$6:$A$44,B209),IF(A209=Data_Panel!$J$5,SUMIFS(Data_Panel!$J$6:$J$44,Data_Panel!$A$6:$A$44,B209),"period not in panel"))))))))</f>
        <v>487</v>
      </c>
      <c r="M209" s="20" t="n">
        <f aca="false">IF(L209="not in panel",0,ABS(N(L209)-D209))</f>
        <v>0</v>
      </c>
    </row>
    <row r="210" customFormat="false" ht="15" hidden="false" customHeight="false" outlineLevel="0" collapsed="false">
      <c r="A210" s="6" t="s">
        <v>79</v>
      </c>
      <c r="B210" s="6" t="s">
        <v>113</v>
      </c>
      <c r="C210" s="6" t="s">
        <v>202</v>
      </c>
      <c r="D210" s="18" t="n">
        <v>43.6</v>
      </c>
      <c r="E210" s="6" t="s">
        <v>106</v>
      </c>
      <c r="F210" s="6" t="s">
        <v>193</v>
      </c>
      <c r="G210" s="6" t="s">
        <v>194</v>
      </c>
      <c r="H210" s="6" t="s">
        <v>150</v>
      </c>
      <c r="I210" s="6" t="s">
        <v>263</v>
      </c>
      <c r="J210" s="6" t="s">
        <v>199</v>
      </c>
      <c r="K210" s="6" t="n">
        <f aca="false">COUNTIFS($A$6:$A$243,A210,$B$6:$B$243,B210)</f>
        <v>1</v>
      </c>
      <c r="L210" s="19" t="n">
        <f aca="false">IF(COUNTIF(Data_Panel!$A$6:$A$44,B210)=0,"not in panel",IF(A210=Data_Panel!$D$5,SUMIFS(Data_Panel!$D$6:$D$44,Data_Panel!$A$6:$A$44,B210),IF(A210=Data_Panel!$E$5,SUMIFS(Data_Panel!$E$6:$E$44,Data_Panel!$A$6:$A$44,B210),IF(A210=Data_Panel!$F$5,SUMIFS(Data_Panel!$F$6:$F$44,Data_Panel!$A$6:$A$44,B210),IF(A210=Data_Panel!$G$5,SUMIFS(Data_Panel!$G$6:$G$44,Data_Panel!$A$6:$A$44,B210),IF(A210=Data_Panel!$H$5,SUMIFS(Data_Panel!$H$6:$H$44,Data_Panel!$A$6:$A$44,B210),IF(A210=Data_Panel!$I$5,SUMIFS(Data_Panel!$I$6:$I$44,Data_Panel!$A$6:$A$44,B210),IF(A210=Data_Panel!$J$5,SUMIFS(Data_Panel!$J$6:$J$44,Data_Panel!$A$6:$A$44,B210),"period not in panel"))))))))</f>
        <v>43.6</v>
      </c>
      <c r="M210" s="20" t="n">
        <f aca="false">IF(L210="not in panel",0,ABS(N(L210)-D210))</f>
        <v>0</v>
      </c>
    </row>
    <row r="211" customFormat="false" ht="15" hidden="false" customHeight="false" outlineLevel="0" collapsed="false">
      <c r="A211" s="6" t="s">
        <v>79</v>
      </c>
      <c r="B211" s="6" t="s">
        <v>116</v>
      </c>
      <c r="C211" s="6" t="s">
        <v>203</v>
      </c>
      <c r="D211" s="18" t="n">
        <v>629</v>
      </c>
      <c r="E211" s="6" t="s">
        <v>83</v>
      </c>
      <c r="F211" s="6" t="s">
        <v>193</v>
      </c>
      <c r="G211" s="6" t="s">
        <v>194</v>
      </c>
      <c r="H211" s="6" t="s">
        <v>150</v>
      </c>
      <c r="I211" s="6" t="s">
        <v>263</v>
      </c>
      <c r="J211" s="6" t="s">
        <v>197</v>
      </c>
      <c r="K211" s="6" t="n">
        <f aca="false">COUNTIFS($A$6:$A$243,A211,$B$6:$B$243,B211)</f>
        <v>1</v>
      </c>
      <c r="L211" s="19" t="n">
        <f aca="false">IF(COUNTIF(Data_Panel!$A$6:$A$44,B211)=0,"not in panel",IF(A211=Data_Panel!$D$5,SUMIFS(Data_Panel!$D$6:$D$44,Data_Panel!$A$6:$A$44,B211),IF(A211=Data_Panel!$E$5,SUMIFS(Data_Panel!$E$6:$E$44,Data_Panel!$A$6:$A$44,B211),IF(A211=Data_Panel!$F$5,SUMIFS(Data_Panel!$F$6:$F$44,Data_Panel!$A$6:$A$44,B211),IF(A211=Data_Panel!$G$5,SUMIFS(Data_Panel!$G$6:$G$44,Data_Panel!$A$6:$A$44,B211),IF(A211=Data_Panel!$H$5,SUMIFS(Data_Panel!$H$6:$H$44,Data_Panel!$A$6:$A$44,B211),IF(A211=Data_Panel!$I$5,SUMIFS(Data_Panel!$I$6:$I$44,Data_Panel!$A$6:$A$44,B211),IF(A211=Data_Panel!$J$5,SUMIFS(Data_Panel!$J$6:$J$44,Data_Panel!$A$6:$A$44,B211),"period not in panel"))))))))</f>
        <v>629</v>
      </c>
      <c r="M211" s="20" t="n">
        <f aca="false">IF(L211="not in panel",0,ABS(N(L211)-D211))</f>
        <v>0</v>
      </c>
    </row>
    <row r="212" customFormat="false" ht="15" hidden="false" customHeight="false" outlineLevel="0" collapsed="false">
      <c r="A212" s="6" t="s">
        <v>79</v>
      </c>
      <c r="B212" s="6" t="s">
        <v>119</v>
      </c>
      <c r="C212" s="6" t="s">
        <v>120</v>
      </c>
      <c r="D212" s="18" t="n">
        <v>705</v>
      </c>
      <c r="E212" s="6" t="s">
        <v>83</v>
      </c>
      <c r="F212" s="6" t="s">
        <v>193</v>
      </c>
      <c r="G212" s="6" t="s">
        <v>194</v>
      </c>
      <c r="H212" s="6" t="s">
        <v>150</v>
      </c>
      <c r="I212" s="6" t="s">
        <v>263</v>
      </c>
      <c r="J212" s="6" t="s">
        <v>197</v>
      </c>
      <c r="K212" s="6" t="n">
        <f aca="false">COUNTIFS($A$6:$A$243,A212,$B$6:$B$243,B212)</f>
        <v>1</v>
      </c>
      <c r="L212" s="19" t="n">
        <f aca="false">IF(COUNTIF(Data_Panel!$A$6:$A$44,B212)=0,"not in panel",IF(A212=Data_Panel!$D$5,SUMIFS(Data_Panel!$D$6:$D$44,Data_Panel!$A$6:$A$44,B212),IF(A212=Data_Panel!$E$5,SUMIFS(Data_Panel!$E$6:$E$44,Data_Panel!$A$6:$A$44,B212),IF(A212=Data_Panel!$F$5,SUMIFS(Data_Panel!$F$6:$F$44,Data_Panel!$A$6:$A$44,B212),IF(A212=Data_Panel!$G$5,SUMIFS(Data_Panel!$G$6:$G$44,Data_Panel!$A$6:$A$44,B212),IF(A212=Data_Panel!$H$5,SUMIFS(Data_Panel!$H$6:$H$44,Data_Panel!$A$6:$A$44,B212),IF(A212=Data_Panel!$I$5,SUMIFS(Data_Panel!$I$6:$I$44,Data_Panel!$A$6:$A$44,B212),IF(A212=Data_Panel!$J$5,SUMIFS(Data_Panel!$J$6:$J$44,Data_Panel!$A$6:$A$44,B212),"period not in panel"))))))))</f>
        <v>705</v>
      </c>
      <c r="M212" s="20" t="n">
        <f aca="false">IF(L212="not in panel",0,ABS(N(L212)-D212))</f>
        <v>0</v>
      </c>
    </row>
    <row r="213" customFormat="false" ht="15" hidden="false" customHeight="false" outlineLevel="0" collapsed="false">
      <c r="A213" s="6" t="s">
        <v>79</v>
      </c>
      <c r="B213" s="6" t="s">
        <v>121</v>
      </c>
      <c r="C213" s="6" t="s">
        <v>122</v>
      </c>
      <c r="D213" s="18" t="n">
        <v>906</v>
      </c>
      <c r="E213" s="6" t="s">
        <v>83</v>
      </c>
      <c r="F213" s="6" t="s">
        <v>193</v>
      </c>
      <c r="G213" s="6" t="s">
        <v>194</v>
      </c>
      <c r="H213" s="6" t="s">
        <v>150</v>
      </c>
      <c r="I213" s="6" t="s">
        <v>263</v>
      </c>
      <c r="J213" s="6" t="s">
        <v>197</v>
      </c>
      <c r="K213" s="6" t="n">
        <f aca="false">COUNTIFS($A$6:$A$243,A213,$B$6:$B$243,B213)</f>
        <v>1</v>
      </c>
      <c r="L213" s="19" t="n">
        <f aca="false">IF(COUNTIF(Data_Panel!$A$6:$A$44,B213)=0,"not in panel",IF(A213=Data_Panel!$D$5,SUMIFS(Data_Panel!$D$6:$D$44,Data_Panel!$A$6:$A$44,B213),IF(A213=Data_Panel!$E$5,SUMIFS(Data_Panel!$E$6:$E$44,Data_Panel!$A$6:$A$44,B213),IF(A213=Data_Panel!$F$5,SUMIFS(Data_Panel!$F$6:$F$44,Data_Panel!$A$6:$A$44,B213),IF(A213=Data_Panel!$G$5,SUMIFS(Data_Panel!$G$6:$G$44,Data_Panel!$A$6:$A$44,B213),IF(A213=Data_Panel!$H$5,SUMIFS(Data_Panel!$H$6:$H$44,Data_Panel!$A$6:$A$44,B213),IF(A213=Data_Panel!$I$5,SUMIFS(Data_Panel!$I$6:$I$44,Data_Panel!$A$6:$A$44,B213),IF(A213=Data_Panel!$J$5,SUMIFS(Data_Panel!$J$6:$J$44,Data_Panel!$A$6:$A$44,B213),"period not in panel"))))))))</f>
        <v>906</v>
      </c>
      <c r="M213" s="20" t="n">
        <f aca="false">IF(L213="not in panel",0,ABS(N(L213)-D213))</f>
        <v>0</v>
      </c>
    </row>
    <row r="214" customFormat="false" ht="15" hidden="false" customHeight="false" outlineLevel="0" collapsed="false">
      <c r="A214" s="6" t="s">
        <v>79</v>
      </c>
      <c r="B214" s="6" t="s">
        <v>123</v>
      </c>
      <c r="C214" s="6" t="s">
        <v>207</v>
      </c>
      <c r="D214" s="18" t="n">
        <v>854</v>
      </c>
      <c r="E214" s="6" t="s">
        <v>83</v>
      </c>
      <c r="F214" s="6" t="s">
        <v>193</v>
      </c>
      <c r="G214" s="6" t="s">
        <v>194</v>
      </c>
      <c r="H214" s="6" t="s">
        <v>150</v>
      </c>
      <c r="I214" s="6" t="s">
        <v>263</v>
      </c>
      <c r="J214" s="6" t="s">
        <v>197</v>
      </c>
      <c r="K214" s="6" t="n">
        <f aca="false">COUNTIFS($A$6:$A$243,A214,$B$6:$B$243,B214)</f>
        <v>1</v>
      </c>
      <c r="L214" s="19" t="n">
        <f aca="false">IF(COUNTIF(Data_Panel!$A$6:$A$44,B214)=0,"not in panel",IF(A214=Data_Panel!$D$5,SUMIFS(Data_Panel!$D$6:$D$44,Data_Panel!$A$6:$A$44,B214),IF(A214=Data_Panel!$E$5,SUMIFS(Data_Panel!$E$6:$E$44,Data_Panel!$A$6:$A$44,B214),IF(A214=Data_Panel!$F$5,SUMIFS(Data_Panel!$F$6:$F$44,Data_Panel!$A$6:$A$44,B214),IF(A214=Data_Panel!$G$5,SUMIFS(Data_Panel!$G$6:$G$44,Data_Panel!$A$6:$A$44,B214),IF(A214=Data_Panel!$H$5,SUMIFS(Data_Panel!$H$6:$H$44,Data_Panel!$A$6:$A$44,B214),IF(A214=Data_Panel!$I$5,SUMIFS(Data_Panel!$I$6:$I$44,Data_Panel!$A$6:$A$44,B214),IF(A214=Data_Panel!$J$5,SUMIFS(Data_Panel!$J$6:$J$44,Data_Panel!$A$6:$A$44,B214),"period not in panel"))))))))</f>
        <v>854</v>
      </c>
      <c r="M214" s="20" t="n">
        <f aca="false">IF(L214="not in panel",0,ABS(N(L214)-D214))</f>
        <v>0</v>
      </c>
    </row>
    <row r="215" customFormat="false" ht="15" hidden="false" customHeight="false" outlineLevel="0" collapsed="false">
      <c r="A215" s="6" t="s">
        <v>79</v>
      </c>
      <c r="B215" s="6" t="s">
        <v>126</v>
      </c>
      <c r="C215" s="6" t="s">
        <v>212</v>
      </c>
      <c r="D215" s="18" t="n">
        <v>1559</v>
      </c>
      <c r="E215" s="6" t="s">
        <v>83</v>
      </c>
      <c r="F215" s="6" t="s">
        <v>193</v>
      </c>
      <c r="G215" s="6" t="s">
        <v>194</v>
      </c>
      <c r="H215" s="6" t="s">
        <v>150</v>
      </c>
      <c r="I215" s="6" t="s">
        <v>263</v>
      </c>
      <c r="J215" s="6" t="s">
        <v>197</v>
      </c>
      <c r="K215" s="6" t="n">
        <f aca="false">COUNTIFS($A$6:$A$243,A215,$B$6:$B$243,B215)</f>
        <v>1</v>
      </c>
      <c r="L215" s="19" t="n">
        <f aca="false">IF(COUNTIF(Data_Panel!$A$6:$A$44,B215)=0,"not in panel",IF(A215=Data_Panel!$D$5,SUMIFS(Data_Panel!$D$6:$D$44,Data_Panel!$A$6:$A$44,B215),IF(A215=Data_Panel!$E$5,SUMIFS(Data_Panel!$E$6:$E$44,Data_Panel!$A$6:$A$44,B215),IF(A215=Data_Panel!$F$5,SUMIFS(Data_Panel!$F$6:$F$44,Data_Panel!$A$6:$A$44,B215),IF(A215=Data_Panel!$G$5,SUMIFS(Data_Panel!$G$6:$G$44,Data_Panel!$A$6:$A$44,B215),IF(A215=Data_Panel!$H$5,SUMIFS(Data_Panel!$H$6:$H$44,Data_Panel!$A$6:$A$44,B215),IF(A215=Data_Panel!$I$5,SUMIFS(Data_Panel!$I$6:$I$44,Data_Panel!$A$6:$A$44,B215),IF(A215=Data_Panel!$J$5,SUMIFS(Data_Panel!$J$6:$J$44,Data_Panel!$A$6:$A$44,B215),"period not in panel"))))))))</f>
        <v>1559</v>
      </c>
      <c r="M215" s="20" t="n">
        <f aca="false">IF(L215="not in panel",0,ABS(N(L215)-D215))</f>
        <v>0</v>
      </c>
    </row>
    <row r="216" customFormat="false" ht="15" hidden="false" customHeight="false" outlineLevel="0" collapsed="false">
      <c r="A216" s="6" t="s">
        <v>79</v>
      </c>
      <c r="B216" s="6" t="s">
        <v>132</v>
      </c>
      <c r="C216" s="6" t="s">
        <v>133</v>
      </c>
      <c r="D216" s="18" t="n">
        <v>1020.244813</v>
      </c>
      <c r="E216" s="6" t="s">
        <v>83</v>
      </c>
      <c r="F216" s="6" t="s">
        <v>193</v>
      </c>
      <c r="G216" s="6" t="s">
        <v>213</v>
      </c>
      <c r="H216" s="6" t="s">
        <v>214</v>
      </c>
      <c r="I216" s="6" t="s">
        <v>334</v>
      </c>
      <c r="J216" s="6" t="s">
        <v>216</v>
      </c>
      <c r="K216" s="6" t="n">
        <f aca="false">COUNTIFS($A$6:$A$243,A216,$B$6:$B$243,B216)</f>
        <v>1</v>
      </c>
      <c r="L216" s="19" t="n">
        <f aca="false">IF(COUNTIF(Data_Panel!$A$6:$A$44,B216)=0,"not in panel",IF(A216=Data_Panel!$D$5,SUMIFS(Data_Panel!$D$6:$D$44,Data_Panel!$A$6:$A$44,B216),IF(A216=Data_Panel!$E$5,SUMIFS(Data_Panel!$E$6:$E$44,Data_Panel!$A$6:$A$44,B216),IF(A216=Data_Panel!$F$5,SUMIFS(Data_Panel!$F$6:$F$44,Data_Panel!$A$6:$A$44,B216),IF(A216=Data_Panel!$G$5,SUMIFS(Data_Panel!$G$6:$G$44,Data_Panel!$A$6:$A$44,B216),IF(A216=Data_Panel!$H$5,SUMIFS(Data_Panel!$H$6:$H$44,Data_Panel!$A$6:$A$44,B216),IF(A216=Data_Panel!$I$5,SUMIFS(Data_Panel!$I$6:$I$44,Data_Panel!$A$6:$A$44,B216),IF(A216=Data_Panel!$J$5,SUMIFS(Data_Panel!$J$6:$J$44,Data_Panel!$A$6:$A$44,B216),"period not in panel"))))))))</f>
        <v>1020.244813</v>
      </c>
      <c r="M216" s="20" t="n">
        <f aca="false">IF(L216="not in panel",0,ABS(N(L216)-D216))</f>
        <v>0</v>
      </c>
    </row>
    <row r="217" customFormat="false" ht="15" hidden="false" customHeight="false" outlineLevel="0" collapsed="false">
      <c r="A217" s="6" t="s">
        <v>79</v>
      </c>
      <c r="B217" s="6" t="s">
        <v>128</v>
      </c>
      <c r="C217" s="6" t="s">
        <v>217</v>
      </c>
      <c r="D217" s="18" t="n">
        <v>2431.811796</v>
      </c>
      <c r="E217" s="6" t="s">
        <v>83</v>
      </c>
      <c r="F217" s="6" t="s">
        <v>193</v>
      </c>
      <c r="G217" s="6" t="s">
        <v>213</v>
      </c>
      <c r="H217" s="6" t="s">
        <v>214</v>
      </c>
      <c r="I217" s="6" t="s">
        <v>335</v>
      </c>
      <c r="J217" s="6" t="s">
        <v>216</v>
      </c>
      <c r="K217" s="6" t="n">
        <f aca="false">COUNTIFS($A$6:$A$243,A217,$B$6:$B$243,B217)</f>
        <v>1</v>
      </c>
      <c r="L217" s="19" t="n">
        <f aca="false">IF(COUNTIF(Data_Panel!$A$6:$A$44,B217)=0,"not in panel",IF(A217=Data_Panel!$D$5,SUMIFS(Data_Panel!$D$6:$D$44,Data_Panel!$A$6:$A$44,B217),IF(A217=Data_Panel!$E$5,SUMIFS(Data_Panel!$E$6:$E$44,Data_Panel!$A$6:$A$44,B217),IF(A217=Data_Panel!$F$5,SUMIFS(Data_Panel!$F$6:$F$44,Data_Panel!$A$6:$A$44,B217),IF(A217=Data_Panel!$G$5,SUMIFS(Data_Panel!$G$6:$G$44,Data_Panel!$A$6:$A$44,B217),IF(A217=Data_Panel!$H$5,SUMIFS(Data_Panel!$H$6:$H$44,Data_Panel!$A$6:$A$44,B217),IF(A217=Data_Panel!$I$5,SUMIFS(Data_Panel!$I$6:$I$44,Data_Panel!$A$6:$A$44,B217),IF(A217=Data_Panel!$J$5,SUMIFS(Data_Panel!$J$6:$J$44,Data_Panel!$A$6:$A$44,B217),"period not in panel"))))))))</f>
        <v>2431.811796</v>
      </c>
      <c r="M217" s="20" t="n">
        <f aca="false">IF(L217="not in panel",0,ABS(N(L217)-D217))</f>
        <v>0</v>
      </c>
    </row>
    <row r="218" customFormat="false" ht="15" hidden="false" customHeight="false" outlineLevel="0" collapsed="false">
      <c r="A218" s="6" t="s">
        <v>79</v>
      </c>
      <c r="B218" s="6" t="s">
        <v>130</v>
      </c>
      <c r="C218" s="6" t="s">
        <v>219</v>
      </c>
      <c r="D218" s="18" t="n">
        <v>-1411.566982</v>
      </c>
      <c r="E218" s="6" t="s">
        <v>83</v>
      </c>
      <c r="F218" s="6" t="s">
        <v>193</v>
      </c>
      <c r="G218" s="6" t="s">
        <v>213</v>
      </c>
      <c r="H218" s="6" t="s">
        <v>214</v>
      </c>
      <c r="I218" s="6" t="s">
        <v>336</v>
      </c>
      <c r="J218" s="6" t="s">
        <v>216</v>
      </c>
      <c r="K218" s="6" t="n">
        <f aca="false">COUNTIFS($A$6:$A$243,A218,$B$6:$B$243,B218)</f>
        <v>1</v>
      </c>
      <c r="L218" s="19" t="n">
        <f aca="false">IF(COUNTIF(Data_Panel!$A$6:$A$44,B218)=0,"not in panel",IF(A218=Data_Panel!$D$5,SUMIFS(Data_Panel!$D$6:$D$44,Data_Panel!$A$6:$A$44,B218),IF(A218=Data_Panel!$E$5,SUMIFS(Data_Panel!$E$6:$E$44,Data_Panel!$A$6:$A$44,B218),IF(A218=Data_Panel!$F$5,SUMIFS(Data_Panel!$F$6:$F$44,Data_Panel!$A$6:$A$44,B218),IF(A218=Data_Panel!$G$5,SUMIFS(Data_Panel!$G$6:$G$44,Data_Panel!$A$6:$A$44,B218),IF(A218=Data_Panel!$H$5,SUMIFS(Data_Panel!$H$6:$H$44,Data_Panel!$A$6:$A$44,B218),IF(A218=Data_Panel!$I$5,SUMIFS(Data_Panel!$I$6:$I$44,Data_Panel!$A$6:$A$44,B218),IF(A218=Data_Panel!$J$5,SUMIFS(Data_Panel!$J$6:$J$44,Data_Panel!$A$6:$A$44,B218),"period not in panel"))))))))</f>
        <v>-1411.566982</v>
      </c>
      <c r="M218" s="20" t="n">
        <f aca="false">IF(L218="not in panel",0,ABS(N(L218)-D218))</f>
        <v>0</v>
      </c>
    </row>
    <row r="219" customFormat="false" ht="15" hidden="false" customHeight="false" outlineLevel="0" collapsed="false">
      <c r="A219" s="6" t="s">
        <v>79</v>
      </c>
      <c r="B219" s="6" t="s">
        <v>134</v>
      </c>
      <c r="C219" s="6" t="s">
        <v>221</v>
      </c>
      <c r="D219" s="18" t="n">
        <v>7301.571233</v>
      </c>
      <c r="E219" s="6" t="s">
        <v>83</v>
      </c>
      <c r="F219" s="6" t="s">
        <v>193</v>
      </c>
      <c r="G219" s="6" t="s">
        <v>213</v>
      </c>
      <c r="H219" s="6" t="s">
        <v>214</v>
      </c>
      <c r="I219" s="6" t="s">
        <v>337</v>
      </c>
      <c r="J219" s="6" t="s">
        <v>216</v>
      </c>
      <c r="K219" s="6" t="n">
        <f aca="false">COUNTIFS($A$6:$A$243,A219,$B$6:$B$243,B219)</f>
        <v>1</v>
      </c>
      <c r="L219" s="19" t="n">
        <f aca="false">IF(COUNTIF(Data_Panel!$A$6:$A$44,B219)=0,"not in panel",IF(A219=Data_Panel!$D$5,SUMIFS(Data_Panel!$D$6:$D$44,Data_Panel!$A$6:$A$44,B219),IF(A219=Data_Panel!$E$5,SUMIFS(Data_Panel!$E$6:$E$44,Data_Panel!$A$6:$A$44,B219),IF(A219=Data_Panel!$F$5,SUMIFS(Data_Panel!$F$6:$F$44,Data_Panel!$A$6:$A$44,B219),IF(A219=Data_Panel!$G$5,SUMIFS(Data_Panel!$G$6:$G$44,Data_Panel!$A$6:$A$44,B219),IF(A219=Data_Panel!$H$5,SUMIFS(Data_Panel!$H$6:$H$44,Data_Panel!$A$6:$A$44,B219),IF(A219=Data_Panel!$I$5,SUMIFS(Data_Panel!$I$6:$I$44,Data_Panel!$A$6:$A$44,B219),IF(A219=Data_Panel!$J$5,SUMIFS(Data_Panel!$J$6:$J$44,Data_Panel!$A$6:$A$44,B219),"period not in panel"))))))))</f>
        <v>7301.571233</v>
      </c>
      <c r="M219" s="20" t="n">
        <f aca="false">IF(L219="not in panel",0,ABS(N(L219)-D219))</f>
        <v>0</v>
      </c>
    </row>
    <row r="220" customFormat="false" ht="15" hidden="false" customHeight="false" outlineLevel="0" collapsed="false">
      <c r="A220" s="6" t="s">
        <v>79</v>
      </c>
      <c r="B220" s="6" t="s">
        <v>153</v>
      </c>
      <c r="C220" s="6" t="s">
        <v>268</v>
      </c>
      <c r="D220" s="18" t="n">
        <v>150</v>
      </c>
      <c r="E220" s="6" t="s">
        <v>83</v>
      </c>
      <c r="F220" s="6" t="s">
        <v>193</v>
      </c>
      <c r="G220" s="6" t="s">
        <v>194</v>
      </c>
      <c r="H220" s="6" t="s">
        <v>150</v>
      </c>
      <c r="I220" s="6" t="s">
        <v>338</v>
      </c>
      <c r="J220" s="6" t="s">
        <v>270</v>
      </c>
      <c r="K220" s="6" t="n">
        <f aca="false">COUNTIFS($A$6:$A$243,A220,$B$6:$B$243,B220)</f>
        <v>1</v>
      </c>
      <c r="L220" s="19" t="n">
        <f aca="false">IF(COUNTIF(Data_Panel!$A$6:$A$44,B220)=0,"not in panel",IF(A220=Data_Panel!$D$5,SUMIFS(Data_Panel!$D$6:$D$44,Data_Panel!$A$6:$A$44,B220),IF(A220=Data_Panel!$E$5,SUMIFS(Data_Panel!$E$6:$E$44,Data_Panel!$A$6:$A$44,B220),IF(A220=Data_Panel!$F$5,SUMIFS(Data_Panel!$F$6:$F$44,Data_Panel!$A$6:$A$44,B220),IF(A220=Data_Panel!$G$5,SUMIFS(Data_Panel!$G$6:$G$44,Data_Panel!$A$6:$A$44,B220),IF(A220=Data_Panel!$H$5,SUMIFS(Data_Panel!$H$6:$H$44,Data_Panel!$A$6:$A$44,B220),IF(A220=Data_Panel!$I$5,SUMIFS(Data_Panel!$I$6:$I$44,Data_Panel!$A$6:$A$44,B220),IF(A220=Data_Panel!$J$5,SUMIFS(Data_Panel!$J$6:$J$44,Data_Panel!$A$6:$A$44,B220),"period not in panel"))))))))</f>
        <v>150</v>
      </c>
      <c r="M220" s="20" t="n">
        <f aca="false">IF(L220="not in panel",0,ABS(N(L220)-D220))</f>
        <v>0</v>
      </c>
    </row>
    <row r="221" customFormat="false" ht="15" hidden="false" customHeight="false" outlineLevel="0" collapsed="false">
      <c r="A221" s="6" t="s">
        <v>79</v>
      </c>
      <c r="B221" s="6" t="s">
        <v>156</v>
      </c>
      <c r="C221" s="6" t="s">
        <v>271</v>
      </c>
      <c r="D221" s="18" t="n">
        <v>-50</v>
      </c>
      <c r="E221" s="6" t="s">
        <v>83</v>
      </c>
      <c r="F221" s="6" t="s">
        <v>193</v>
      </c>
      <c r="G221" s="6" t="s">
        <v>194</v>
      </c>
      <c r="H221" s="6" t="s">
        <v>150</v>
      </c>
      <c r="I221" s="6" t="s">
        <v>338</v>
      </c>
      <c r="J221" s="6" t="s">
        <v>270</v>
      </c>
      <c r="K221" s="6" t="n">
        <f aca="false">COUNTIFS($A$6:$A$243,A221,$B$6:$B$243,B221)</f>
        <v>1</v>
      </c>
      <c r="L221" s="19" t="n">
        <f aca="false">IF(COUNTIF(Data_Panel!$A$6:$A$44,B221)=0,"not in panel",IF(A221=Data_Panel!$D$5,SUMIFS(Data_Panel!$D$6:$D$44,Data_Panel!$A$6:$A$44,B221),IF(A221=Data_Panel!$E$5,SUMIFS(Data_Panel!$E$6:$E$44,Data_Panel!$A$6:$A$44,B221),IF(A221=Data_Panel!$F$5,SUMIFS(Data_Panel!$F$6:$F$44,Data_Panel!$A$6:$A$44,B221),IF(A221=Data_Panel!$G$5,SUMIFS(Data_Panel!$G$6:$G$44,Data_Panel!$A$6:$A$44,B221),IF(A221=Data_Panel!$H$5,SUMIFS(Data_Panel!$H$6:$H$44,Data_Panel!$A$6:$A$44,B221),IF(A221=Data_Panel!$I$5,SUMIFS(Data_Panel!$I$6:$I$44,Data_Panel!$A$6:$A$44,B221),IF(A221=Data_Panel!$J$5,SUMIFS(Data_Panel!$J$6:$J$44,Data_Panel!$A$6:$A$44,B221),"period not in panel"))))))))</f>
        <v>-50</v>
      </c>
      <c r="M221" s="20" t="n">
        <f aca="false">IF(L221="not in panel",0,ABS(N(L221)-D221))</f>
        <v>0</v>
      </c>
    </row>
    <row r="222" customFormat="false" ht="15" hidden="false" customHeight="false" outlineLevel="0" collapsed="false">
      <c r="A222" s="6" t="s">
        <v>79</v>
      </c>
      <c r="B222" s="6" t="s">
        <v>158</v>
      </c>
      <c r="C222" s="6" t="s">
        <v>272</v>
      </c>
      <c r="D222" s="18" t="n">
        <v>10</v>
      </c>
      <c r="E222" s="6" t="s">
        <v>83</v>
      </c>
      <c r="F222" s="6" t="s">
        <v>193</v>
      </c>
      <c r="G222" s="6" t="s">
        <v>194</v>
      </c>
      <c r="H222" s="6" t="s">
        <v>150</v>
      </c>
      <c r="I222" s="6" t="s">
        <v>338</v>
      </c>
      <c r="J222" s="6" t="s">
        <v>270</v>
      </c>
      <c r="K222" s="6" t="n">
        <f aca="false">COUNTIFS($A$6:$A$243,A222,$B$6:$B$243,B222)</f>
        <v>1</v>
      </c>
      <c r="L222" s="19" t="n">
        <f aca="false">IF(COUNTIF(Data_Panel!$A$6:$A$44,B222)=0,"not in panel",IF(A222=Data_Panel!$D$5,SUMIFS(Data_Panel!$D$6:$D$44,Data_Panel!$A$6:$A$44,B222),IF(A222=Data_Panel!$E$5,SUMIFS(Data_Panel!$E$6:$E$44,Data_Panel!$A$6:$A$44,B222),IF(A222=Data_Panel!$F$5,SUMIFS(Data_Panel!$F$6:$F$44,Data_Panel!$A$6:$A$44,B222),IF(A222=Data_Panel!$G$5,SUMIFS(Data_Panel!$G$6:$G$44,Data_Panel!$A$6:$A$44,B222),IF(A222=Data_Panel!$H$5,SUMIFS(Data_Panel!$H$6:$H$44,Data_Panel!$A$6:$A$44,B222),IF(A222=Data_Panel!$I$5,SUMIFS(Data_Panel!$I$6:$I$44,Data_Panel!$A$6:$A$44,B222),IF(A222=Data_Panel!$J$5,SUMIFS(Data_Panel!$J$6:$J$44,Data_Panel!$A$6:$A$44,B222),"period not in panel"))))))))</f>
        <v>10</v>
      </c>
      <c r="M222" s="20" t="n">
        <f aca="false">IF(L222="not in panel",0,ABS(N(L222)-D222))</f>
        <v>0</v>
      </c>
    </row>
    <row r="223" customFormat="false" ht="15" hidden="false" customHeight="false" outlineLevel="0" collapsed="false">
      <c r="A223" s="6" t="s">
        <v>79</v>
      </c>
      <c r="B223" s="6" t="s">
        <v>160</v>
      </c>
      <c r="C223" s="6" t="s">
        <v>273</v>
      </c>
      <c r="D223" s="18" t="n">
        <v>230</v>
      </c>
      <c r="E223" s="6" t="s">
        <v>83</v>
      </c>
      <c r="F223" s="6" t="s">
        <v>193</v>
      </c>
      <c r="G223" s="6" t="s">
        <v>194</v>
      </c>
      <c r="H223" s="6" t="s">
        <v>150</v>
      </c>
      <c r="I223" s="6" t="s">
        <v>338</v>
      </c>
      <c r="J223" s="6" t="s">
        <v>270</v>
      </c>
      <c r="K223" s="6" t="n">
        <f aca="false">COUNTIFS($A$6:$A$243,A223,$B$6:$B$243,B223)</f>
        <v>1</v>
      </c>
      <c r="L223" s="19" t="n">
        <f aca="false">IF(COUNTIF(Data_Panel!$A$6:$A$44,B223)=0,"not in panel",IF(A223=Data_Panel!$D$5,SUMIFS(Data_Panel!$D$6:$D$44,Data_Panel!$A$6:$A$44,B223),IF(A223=Data_Panel!$E$5,SUMIFS(Data_Panel!$E$6:$E$44,Data_Panel!$A$6:$A$44,B223),IF(A223=Data_Panel!$F$5,SUMIFS(Data_Panel!$F$6:$F$44,Data_Panel!$A$6:$A$44,B223),IF(A223=Data_Panel!$G$5,SUMIFS(Data_Panel!$G$6:$G$44,Data_Panel!$A$6:$A$44,B223),IF(A223=Data_Panel!$H$5,SUMIFS(Data_Panel!$H$6:$H$44,Data_Panel!$A$6:$A$44,B223),IF(A223=Data_Panel!$I$5,SUMIFS(Data_Panel!$I$6:$I$44,Data_Panel!$A$6:$A$44,B223),IF(A223=Data_Panel!$J$5,SUMIFS(Data_Panel!$J$6:$J$44,Data_Panel!$A$6:$A$44,B223),"period not in panel"))))))))</f>
        <v>230</v>
      </c>
      <c r="M223" s="20" t="n">
        <f aca="false">IF(L223="not in panel",0,ABS(N(L223)-D223))</f>
        <v>0</v>
      </c>
    </row>
    <row r="224" customFormat="false" ht="15" hidden="false" customHeight="false" outlineLevel="0" collapsed="false">
      <c r="A224" s="6" t="s">
        <v>79</v>
      </c>
      <c r="B224" s="6" t="s">
        <v>162</v>
      </c>
      <c r="C224" s="6" t="s">
        <v>303</v>
      </c>
      <c r="D224" s="18" t="n">
        <v>-100</v>
      </c>
      <c r="E224" s="6" t="s">
        <v>83</v>
      </c>
      <c r="F224" s="6" t="s">
        <v>193</v>
      </c>
      <c r="G224" s="6" t="s">
        <v>194</v>
      </c>
      <c r="H224" s="6" t="s">
        <v>150</v>
      </c>
      <c r="I224" s="6" t="s">
        <v>338</v>
      </c>
      <c r="J224" s="6" t="s">
        <v>319</v>
      </c>
      <c r="K224" s="6" t="n">
        <f aca="false">COUNTIFS($A$6:$A$243,A224,$B$6:$B$243,B224)</f>
        <v>1</v>
      </c>
      <c r="L224" s="19" t="n">
        <f aca="false">IF(COUNTIF(Data_Panel!$A$6:$A$44,B224)=0,"not in panel",IF(A224=Data_Panel!$D$5,SUMIFS(Data_Panel!$D$6:$D$44,Data_Panel!$A$6:$A$44,B224),IF(A224=Data_Panel!$E$5,SUMIFS(Data_Panel!$E$6:$E$44,Data_Panel!$A$6:$A$44,B224),IF(A224=Data_Panel!$F$5,SUMIFS(Data_Panel!$F$6:$F$44,Data_Panel!$A$6:$A$44,B224),IF(A224=Data_Panel!$G$5,SUMIFS(Data_Panel!$G$6:$G$44,Data_Panel!$A$6:$A$44,B224),IF(A224=Data_Panel!$H$5,SUMIFS(Data_Panel!$H$6:$H$44,Data_Panel!$A$6:$A$44,B224),IF(A224=Data_Panel!$I$5,SUMIFS(Data_Panel!$I$6:$I$44,Data_Panel!$A$6:$A$44,B224),IF(A224=Data_Panel!$J$5,SUMIFS(Data_Panel!$J$6:$J$44,Data_Panel!$A$6:$A$44,B224),"period not in panel"))))))))</f>
        <v>-100</v>
      </c>
      <c r="M224" s="20" t="n">
        <f aca="false">IF(L224="not in panel",0,ABS(N(L224)-D224))</f>
        <v>0</v>
      </c>
    </row>
    <row r="225" customFormat="false" ht="15" hidden="false" customHeight="false" outlineLevel="0" collapsed="false">
      <c r="A225" s="6" t="s">
        <v>79</v>
      </c>
      <c r="B225" s="6" t="s">
        <v>136</v>
      </c>
      <c r="C225" s="6" t="s">
        <v>137</v>
      </c>
      <c r="D225" s="18" t="n">
        <v>2206</v>
      </c>
      <c r="E225" s="6" t="s">
        <v>83</v>
      </c>
      <c r="F225" s="6" t="s">
        <v>193</v>
      </c>
      <c r="G225" s="6" t="s">
        <v>194</v>
      </c>
      <c r="H225" s="6" t="s">
        <v>332</v>
      </c>
      <c r="I225" s="6" t="s">
        <v>339</v>
      </c>
      <c r="J225" s="6" t="s">
        <v>197</v>
      </c>
      <c r="K225" s="6" t="n">
        <f aca="false">COUNTIFS($A$6:$A$243,A225,$B$6:$B$243,B225)</f>
        <v>1</v>
      </c>
      <c r="L225" s="19" t="n">
        <f aca="false">IF(COUNTIF(Data_Panel!$A$6:$A$44,B225)=0,"not in panel",IF(A225=Data_Panel!$D$5,SUMIFS(Data_Panel!$D$6:$D$44,Data_Panel!$A$6:$A$44,B225),IF(A225=Data_Panel!$E$5,SUMIFS(Data_Panel!$E$6:$E$44,Data_Panel!$A$6:$A$44,B225),IF(A225=Data_Panel!$F$5,SUMIFS(Data_Panel!$F$6:$F$44,Data_Panel!$A$6:$A$44,B225),IF(A225=Data_Panel!$G$5,SUMIFS(Data_Panel!$G$6:$G$44,Data_Panel!$A$6:$A$44,B225),IF(A225=Data_Panel!$H$5,SUMIFS(Data_Panel!$H$6:$H$44,Data_Panel!$A$6:$A$44,B225),IF(A225=Data_Panel!$I$5,SUMIFS(Data_Panel!$I$6:$I$44,Data_Panel!$A$6:$A$44,B225),IF(A225=Data_Panel!$J$5,SUMIFS(Data_Panel!$J$6:$J$44,Data_Panel!$A$6:$A$44,B225),"period not in panel"))))))))</f>
        <v>2206</v>
      </c>
      <c r="M225" s="20" t="n">
        <f aca="false">IF(L225="not in panel",0,ABS(N(L225)-D225))</f>
        <v>0</v>
      </c>
    </row>
    <row r="226" customFormat="false" ht="15" hidden="false" customHeight="false" outlineLevel="0" collapsed="false">
      <c r="A226" s="6" t="s">
        <v>79</v>
      </c>
      <c r="B226" s="6" t="s">
        <v>138</v>
      </c>
      <c r="C226" s="6" t="s">
        <v>139</v>
      </c>
      <c r="D226" s="18" t="n">
        <v>151</v>
      </c>
      <c r="E226" s="6" t="s">
        <v>83</v>
      </c>
      <c r="F226" s="6" t="s">
        <v>193</v>
      </c>
      <c r="G226" s="6" t="s">
        <v>194</v>
      </c>
      <c r="H226" s="6" t="s">
        <v>332</v>
      </c>
      <c r="I226" s="6" t="s">
        <v>339</v>
      </c>
      <c r="J226" s="6" t="s">
        <v>197</v>
      </c>
      <c r="K226" s="6" t="n">
        <f aca="false">COUNTIFS($A$6:$A$243,A226,$B$6:$B$243,B226)</f>
        <v>1</v>
      </c>
      <c r="L226" s="19" t="n">
        <f aca="false">IF(COUNTIF(Data_Panel!$A$6:$A$44,B226)=0,"not in panel",IF(A226=Data_Panel!$D$5,SUMIFS(Data_Panel!$D$6:$D$44,Data_Panel!$A$6:$A$44,B226),IF(A226=Data_Panel!$E$5,SUMIFS(Data_Panel!$E$6:$E$44,Data_Panel!$A$6:$A$44,B226),IF(A226=Data_Panel!$F$5,SUMIFS(Data_Panel!$F$6:$F$44,Data_Panel!$A$6:$A$44,B226),IF(A226=Data_Panel!$G$5,SUMIFS(Data_Panel!$G$6:$G$44,Data_Panel!$A$6:$A$44,B226),IF(A226=Data_Panel!$H$5,SUMIFS(Data_Panel!$H$6:$H$44,Data_Panel!$A$6:$A$44,B226),IF(A226=Data_Panel!$I$5,SUMIFS(Data_Panel!$I$6:$I$44,Data_Panel!$A$6:$A$44,B226),IF(A226=Data_Panel!$J$5,SUMIFS(Data_Panel!$J$6:$J$44,Data_Panel!$A$6:$A$44,B226),"period not in panel"))))))))</f>
        <v>151</v>
      </c>
      <c r="M226" s="20" t="n">
        <f aca="false">IF(L226="not in panel",0,ABS(N(L226)-D226))</f>
        <v>0</v>
      </c>
    </row>
    <row r="227" customFormat="false" ht="15" hidden="false" customHeight="false" outlineLevel="0" collapsed="false">
      <c r="A227" s="6" t="s">
        <v>79</v>
      </c>
      <c r="B227" s="6" t="s">
        <v>81</v>
      </c>
      <c r="C227" s="6" t="s">
        <v>82</v>
      </c>
      <c r="D227" s="18" t="n">
        <v>17229.455528</v>
      </c>
      <c r="E227" s="6" t="s">
        <v>83</v>
      </c>
      <c r="F227" s="6" t="s">
        <v>193</v>
      </c>
      <c r="G227" s="6" t="s">
        <v>213</v>
      </c>
      <c r="H227" s="6" t="s">
        <v>214</v>
      </c>
      <c r="I227" s="6" t="s">
        <v>340</v>
      </c>
      <c r="J227" s="6" t="s">
        <v>216</v>
      </c>
      <c r="K227" s="6" t="n">
        <f aca="false">COUNTIFS($A$6:$A$243,A227,$B$6:$B$243,B227)</f>
        <v>1</v>
      </c>
      <c r="L227" s="19" t="n">
        <f aca="false">IF(COUNTIF(Data_Panel!$A$6:$A$44,B227)=0,"not in panel",IF(A227=Data_Panel!$D$5,SUMIFS(Data_Panel!$D$6:$D$44,Data_Panel!$A$6:$A$44,B227),IF(A227=Data_Panel!$E$5,SUMIFS(Data_Panel!$E$6:$E$44,Data_Panel!$A$6:$A$44,B227),IF(A227=Data_Panel!$F$5,SUMIFS(Data_Panel!$F$6:$F$44,Data_Panel!$A$6:$A$44,B227),IF(A227=Data_Panel!$G$5,SUMIFS(Data_Panel!$G$6:$G$44,Data_Panel!$A$6:$A$44,B227),IF(A227=Data_Panel!$H$5,SUMIFS(Data_Panel!$H$6:$H$44,Data_Panel!$A$6:$A$44,B227),IF(A227=Data_Panel!$I$5,SUMIFS(Data_Panel!$I$6:$I$44,Data_Panel!$A$6:$A$44,B227),IF(A227=Data_Panel!$J$5,SUMIFS(Data_Panel!$J$6:$J$44,Data_Panel!$A$6:$A$44,B227),"period not in panel"))))))))</f>
        <v>17229.455528</v>
      </c>
      <c r="M227" s="20" t="n">
        <f aca="false">IF(L227="not in panel",0,ABS(N(L227)-D227))</f>
        <v>0</v>
      </c>
    </row>
    <row r="228" customFormat="false" ht="15" hidden="false" customHeight="false" outlineLevel="0" collapsed="false">
      <c r="A228" s="6" t="s">
        <v>79</v>
      </c>
      <c r="B228" s="6" t="s">
        <v>85</v>
      </c>
      <c r="C228" s="6" t="s">
        <v>86</v>
      </c>
      <c r="D228" s="18" t="n">
        <v>-13763.625045</v>
      </c>
      <c r="E228" s="6" t="s">
        <v>83</v>
      </c>
      <c r="F228" s="6" t="s">
        <v>193</v>
      </c>
      <c r="G228" s="6" t="s">
        <v>213</v>
      </c>
      <c r="H228" s="6" t="s">
        <v>214</v>
      </c>
      <c r="I228" s="6" t="s">
        <v>341</v>
      </c>
      <c r="J228" s="6" t="s">
        <v>216</v>
      </c>
      <c r="K228" s="6" t="n">
        <f aca="false">COUNTIFS($A$6:$A$243,A228,$B$6:$B$243,B228)</f>
        <v>1</v>
      </c>
      <c r="L228" s="19" t="n">
        <f aca="false">IF(COUNTIF(Data_Panel!$A$6:$A$44,B228)=0,"not in panel",IF(A228=Data_Panel!$D$5,SUMIFS(Data_Panel!$D$6:$D$44,Data_Panel!$A$6:$A$44,B228),IF(A228=Data_Panel!$E$5,SUMIFS(Data_Panel!$E$6:$E$44,Data_Panel!$A$6:$A$44,B228),IF(A228=Data_Panel!$F$5,SUMIFS(Data_Panel!$F$6:$F$44,Data_Panel!$A$6:$A$44,B228),IF(A228=Data_Panel!$G$5,SUMIFS(Data_Panel!$G$6:$G$44,Data_Panel!$A$6:$A$44,B228),IF(A228=Data_Panel!$H$5,SUMIFS(Data_Panel!$H$6:$H$44,Data_Panel!$A$6:$A$44,B228),IF(A228=Data_Panel!$I$5,SUMIFS(Data_Panel!$I$6:$I$44,Data_Panel!$A$6:$A$44,B228),IF(A228=Data_Panel!$J$5,SUMIFS(Data_Panel!$J$6:$J$44,Data_Panel!$A$6:$A$44,B228),"period not in panel"))))))))</f>
        <v>-13763.625045</v>
      </c>
      <c r="M228" s="20" t="n">
        <f aca="false">IF(L228="not in panel",0,ABS(N(L228)-D228))</f>
        <v>0</v>
      </c>
    </row>
    <row r="229" customFormat="false" ht="15" hidden="false" customHeight="false" outlineLevel="0" collapsed="false">
      <c r="A229" s="6" t="s">
        <v>79</v>
      </c>
      <c r="B229" s="6" t="s">
        <v>87</v>
      </c>
      <c r="C229" s="6" t="s">
        <v>88</v>
      </c>
      <c r="D229" s="18" t="n">
        <v>3465.830483</v>
      </c>
      <c r="E229" s="6" t="s">
        <v>83</v>
      </c>
      <c r="F229" s="6" t="s">
        <v>193</v>
      </c>
      <c r="G229" s="6" t="s">
        <v>213</v>
      </c>
      <c r="H229" s="6" t="s">
        <v>214</v>
      </c>
      <c r="I229" s="6" t="s">
        <v>342</v>
      </c>
      <c r="J229" s="6" t="s">
        <v>216</v>
      </c>
      <c r="K229" s="6" t="n">
        <f aca="false">COUNTIFS($A$6:$A$243,A229,$B$6:$B$243,B229)</f>
        <v>1</v>
      </c>
      <c r="L229" s="19" t="n">
        <f aca="false">IF(COUNTIF(Data_Panel!$A$6:$A$44,B229)=0,"not in panel",IF(A229=Data_Panel!$D$5,SUMIFS(Data_Panel!$D$6:$D$44,Data_Panel!$A$6:$A$44,B229),IF(A229=Data_Panel!$E$5,SUMIFS(Data_Panel!$E$6:$E$44,Data_Panel!$A$6:$A$44,B229),IF(A229=Data_Panel!$F$5,SUMIFS(Data_Panel!$F$6:$F$44,Data_Panel!$A$6:$A$44,B229),IF(A229=Data_Panel!$G$5,SUMIFS(Data_Panel!$G$6:$G$44,Data_Panel!$A$6:$A$44,B229),IF(A229=Data_Panel!$H$5,SUMIFS(Data_Panel!$H$6:$H$44,Data_Panel!$A$6:$A$44,B229),IF(A229=Data_Panel!$I$5,SUMIFS(Data_Panel!$I$6:$I$44,Data_Panel!$A$6:$A$44,B229),IF(A229=Data_Panel!$J$5,SUMIFS(Data_Panel!$J$6:$J$44,Data_Panel!$A$6:$A$44,B229),"period not in panel"))))))))</f>
        <v>3465.830483</v>
      </c>
      <c r="M229" s="20" t="n">
        <f aca="false">IF(L229="not in panel",0,ABS(N(L229)-D229))</f>
        <v>0</v>
      </c>
    </row>
    <row r="230" customFormat="false" ht="15" hidden="false" customHeight="false" outlineLevel="0" collapsed="false">
      <c r="A230" s="6" t="s">
        <v>79</v>
      </c>
      <c r="B230" s="6" t="s">
        <v>89</v>
      </c>
      <c r="C230" s="6" t="s">
        <v>90</v>
      </c>
      <c r="D230" s="18" t="n">
        <v>-1278.459427</v>
      </c>
      <c r="E230" s="6" t="s">
        <v>83</v>
      </c>
      <c r="F230" s="6" t="s">
        <v>193</v>
      </c>
      <c r="G230" s="6" t="s">
        <v>213</v>
      </c>
      <c r="H230" s="6" t="s">
        <v>214</v>
      </c>
      <c r="I230" s="6" t="s">
        <v>343</v>
      </c>
      <c r="J230" s="6" t="s">
        <v>216</v>
      </c>
      <c r="K230" s="6" t="n">
        <f aca="false">COUNTIFS($A$6:$A$243,A230,$B$6:$B$243,B230)</f>
        <v>1</v>
      </c>
      <c r="L230" s="19" t="n">
        <f aca="false">IF(COUNTIF(Data_Panel!$A$6:$A$44,B230)=0,"not in panel",IF(A230=Data_Panel!$D$5,SUMIFS(Data_Panel!$D$6:$D$44,Data_Panel!$A$6:$A$44,B230),IF(A230=Data_Panel!$E$5,SUMIFS(Data_Panel!$E$6:$E$44,Data_Panel!$A$6:$A$44,B230),IF(A230=Data_Panel!$F$5,SUMIFS(Data_Panel!$F$6:$F$44,Data_Panel!$A$6:$A$44,B230),IF(A230=Data_Panel!$G$5,SUMIFS(Data_Panel!$G$6:$G$44,Data_Panel!$A$6:$A$44,B230),IF(A230=Data_Panel!$H$5,SUMIFS(Data_Panel!$H$6:$H$44,Data_Panel!$A$6:$A$44,B230),IF(A230=Data_Panel!$I$5,SUMIFS(Data_Panel!$I$6:$I$44,Data_Panel!$A$6:$A$44,B230),IF(A230=Data_Panel!$J$5,SUMIFS(Data_Panel!$J$6:$J$44,Data_Panel!$A$6:$A$44,B230),"period not in panel"))))))))</f>
        <v>-1278.459427</v>
      </c>
      <c r="M230" s="20" t="n">
        <f aca="false">IF(L230="not in panel",0,ABS(N(L230)-D230))</f>
        <v>0</v>
      </c>
    </row>
    <row r="231" customFormat="false" ht="15" hidden="false" customHeight="false" outlineLevel="0" collapsed="false">
      <c r="A231" s="6" t="s">
        <v>79</v>
      </c>
      <c r="B231" s="6" t="s">
        <v>91</v>
      </c>
      <c r="C231" s="6" t="s">
        <v>92</v>
      </c>
      <c r="D231" s="18" t="n">
        <v>-997.072323</v>
      </c>
      <c r="E231" s="6" t="s">
        <v>83</v>
      </c>
      <c r="F231" s="6" t="s">
        <v>193</v>
      </c>
      <c r="G231" s="6" t="s">
        <v>213</v>
      </c>
      <c r="H231" s="6" t="s">
        <v>214</v>
      </c>
      <c r="I231" s="6" t="s">
        <v>344</v>
      </c>
      <c r="J231" s="6" t="s">
        <v>216</v>
      </c>
      <c r="K231" s="6" t="n">
        <f aca="false">COUNTIFS($A$6:$A$243,A231,$B$6:$B$243,B231)</f>
        <v>1</v>
      </c>
      <c r="L231" s="19" t="n">
        <f aca="false">IF(COUNTIF(Data_Panel!$A$6:$A$44,B231)=0,"not in panel",IF(A231=Data_Panel!$D$5,SUMIFS(Data_Panel!$D$6:$D$44,Data_Panel!$A$6:$A$44,B231),IF(A231=Data_Panel!$E$5,SUMIFS(Data_Panel!$E$6:$E$44,Data_Panel!$A$6:$A$44,B231),IF(A231=Data_Panel!$F$5,SUMIFS(Data_Panel!$F$6:$F$44,Data_Panel!$A$6:$A$44,B231),IF(A231=Data_Panel!$G$5,SUMIFS(Data_Panel!$G$6:$G$44,Data_Panel!$A$6:$A$44,B231),IF(A231=Data_Panel!$H$5,SUMIFS(Data_Panel!$H$6:$H$44,Data_Panel!$A$6:$A$44,B231),IF(A231=Data_Panel!$I$5,SUMIFS(Data_Panel!$I$6:$I$44,Data_Panel!$A$6:$A$44,B231),IF(A231=Data_Panel!$J$5,SUMIFS(Data_Panel!$J$6:$J$44,Data_Panel!$A$6:$A$44,B231),"period not in panel"))))))))</f>
        <v>-997.072323</v>
      </c>
      <c r="M231" s="20" t="n">
        <f aca="false">IF(L231="not in panel",0,ABS(N(L231)-D231))</f>
        <v>0</v>
      </c>
    </row>
    <row r="232" customFormat="false" ht="15" hidden="false" customHeight="false" outlineLevel="0" collapsed="false">
      <c r="A232" s="6" t="s">
        <v>79</v>
      </c>
      <c r="B232" s="6" t="s">
        <v>93</v>
      </c>
      <c r="C232" s="6" t="s">
        <v>94</v>
      </c>
      <c r="D232" s="18" t="n">
        <v>157.886315</v>
      </c>
      <c r="E232" s="6" t="s">
        <v>83</v>
      </c>
      <c r="F232" s="6" t="s">
        <v>193</v>
      </c>
      <c r="G232" s="6" t="s">
        <v>213</v>
      </c>
      <c r="H232" s="6" t="s">
        <v>214</v>
      </c>
      <c r="I232" s="6" t="s">
        <v>345</v>
      </c>
      <c r="J232" s="6" t="s">
        <v>216</v>
      </c>
      <c r="K232" s="6" t="n">
        <f aca="false">COUNTIFS($A$6:$A$243,A232,$B$6:$B$243,B232)</f>
        <v>1</v>
      </c>
      <c r="L232" s="19" t="n">
        <f aca="false">IF(COUNTIF(Data_Panel!$A$6:$A$44,B232)=0,"not in panel",IF(A232=Data_Panel!$D$5,SUMIFS(Data_Panel!$D$6:$D$44,Data_Panel!$A$6:$A$44,B232),IF(A232=Data_Panel!$E$5,SUMIFS(Data_Panel!$E$6:$E$44,Data_Panel!$A$6:$A$44,B232),IF(A232=Data_Panel!$F$5,SUMIFS(Data_Panel!$F$6:$F$44,Data_Panel!$A$6:$A$44,B232),IF(A232=Data_Panel!$G$5,SUMIFS(Data_Panel!$G$6:$G$44,Data_Panel!$A$6:$A$44,B232),IF(A232=Data_Panel!$H$5,SUMIFS(Data_Panel!$H$6:$H$44,Data_Panel!$A$6:$A$44,B232),IF(A232=Data_Panel!$I$5,SUMIFS(Data_Panel!$I$6:$I$44,Data_Panel!$A$6:$A$44,B232),IF(A232=Data_Panel!$J$5,SUMIFS(Data_Panel!$J$6:$J$44,Data_Panel!$A$6:$A$44,B232),"period not in panel"))))))))</f>
        <v>157.886315</v>
      </c>
      <c r="M232" s="20" t="n">
        <f aca="false">IF(L232="not in panel",0,ABS(N(L232)-D232))</f>
        <v>0</v>
      </c>
    </row>
    <row r="233" customFormat="false" ht="15" hidden="false" customHeight="false" outlineLevel="0" collapsed="false">
      <c r="A233" s="6" t="s">
        <v>79</v>
      </c>
      <c r="B233" s="6" t="s">
        <v>95</v>
      </c>
      <c r="C233" s="6" t="s">
        <v>230</v>
      </c>
      <c r="D233" s="18" t="n">
        <v>1348.185049</v>
      </c>
      <c r="E233" s="6" t="s">
        <v>83</v>
      </c>
      <c r="F233" s="6" t="s">
        <v>193</v>
      </c>
      <c r="G233" s="6" t="s">
        <v>213</v>
      </c>
      <c r="H233" s="6" t="s">
        <v>214</v>
      </c>
      <c r="I233" s="6" t="s">
        <v>346</v>
      </c>
      <c r="J233" s="6" t="s">
        <v>216</v>
      </c>
      <c r="K233" s="6" t="n">
        <f aca="false">COUNTIFS($A$6:$A$243,A233,$B$6:$B$243,B233)</f>
        <v>1</v>
      </c>
      <c r="L233" s="19" t="n">
        <f aca="false">IF(COUNTIF(Data_Panel!$A$6:$A$44,B233)=0,"not in panel",IF(A233=Data_Panel!$D$5,SUMIFS(Data_Panel!$D$6:$D$44,Data_Panel!$A$6:$A$44,B233),IF(A233=Data_Panel!$E$5,SUMIFS(Data_Panel!$E$6:$E$44,Data_Panel!$A$6:$A$44,B233),IF(A233=Data_Panel!$F$5,SUMIFS(Data_Panel!$F$6:$F$44,Data_Panel!$A$6:$A$44,B233),IF(A233=Data_Panel!$G$5,SUMIFS(Data_Panel!$G$6:$G$44,Data_Panel!$A$6:$A$44,B233),IF(A233=Data_Panel!$H$5,SUMIFS(Data_Panel!$H$6:$H$44,Data_Panel!$A$6:$A$44,B233),IF(A233=Data_Panel!$I$5,SUMIFS(Data_Panel!$I$6:$I$44,Data_Panel!$A$6:$A$44,B233),IF(A233=Data_Panel!$J$5,SUMIFS(Data_Panel!$J$6:$J$44,Data_Panel!$A$6:$A$44,B233),"period not in panel"))))))))</f>
        <v>1348.185049</v>
      </c>
      <c r="M233" s="20" t="n">
        <f aca="false">IF(L233="not in panel",0,ABS(N(L233)-D233))</f>
        <v>0</v>
      </c>
    </row>
    <row r="234" customFormat="false" ht="15" hidden="false" customHeight="false" outlineLevel="0" collapsed="false">
      <c r="A234" s="6" t="s">
        <v>79</v>
      </c>
      <c r="B234" s="6" t="s">
        <v>232</v>
      </c>
      <c r="C234" s="6" t="s">
        <v>233</v>
      </c>
      <c r="D234" s="18" t="n">
        <v>1.24</v>
      </c>
      <c r="E234" s="6" t="s">
        <v>234</v>
      </c>
      <c r="F234" s="6" t="s">
        <v>193</v>
      </c>
      <c r="G234" s="6" t="s">
        <v>213</v>
      </c>
      <c r="H234" s="6" t="s">
        <v>214</v>
      </c>
      <c r="I234" s="6" t="s">
        <v>347</v>
      </c>
      <c r="J234" s="6" t="s">
        <v>236</v>
      </c>
      <c r="K234" s="6" t="n">
        <f aca="false">COUNTIFS($A$6:$A$243,A234,$B$6:$B$243,B234)</f>
        <v>1</v>
      </c>
      <c r="L234" s="19" t="str">
        <f aca="false">IF(COUNTIF(Data_Panel!$A$6:$A$44,B234)=0,"not in panel",IF(A234=Data_Panel!$D$5,SUMIFS(Data_Panel!$D$6:$D$44,Data_Panel!$A$6:$A$44,B234),IF(A234=Data_Panel!$E$5,SUMIFS(Data_Panel!$E$6:$E$44,Data_Panel!$A$6:$A$44,B234),IF(A234=Data_Panel!$F$5,SUMIFS(Data_Panel!$F$6:$F$44,Data_Panel!$A$6:$A$44,B234),IF(A234=Data_Panel!$G$5,SUMIFS(Data_Panel!$G$6:$G$44,Data_Panel!$A$6:$A$44,B234),IF(A234=Data_Panel!$H$5,SUMIFS(Data_Panel!$H$6:$H$44,Data_Panel!$A$6:$A$44,B234),IF(A234=Data_Panel!$I$5,SUMIFS(Data_Panel!$I$6:$I$44,Data_Panel!$A$6:$A$44,B234),IF(A234=Data_Panel!$J$5,SUMIFS(Data_Panel!$J$6:$J$44,Data_Panel!$A$6:$A$44,B234),"period not in panel"))))))))</f>
        <v>not in panel</v>
      </c>
      <c r="M234" s="20" t="n">
        <f aca="false">IF(L234="not in panel",0,ABS(N(L234)-D234))</f>
        <v>0</v>
      </c>
    </row>
    <row r="235" customFormat="false" ht="15" hidden="false" customHeight="false" outlineLevel="0" collapsed="false">
      <c r="A235" s="6" t="s">
        <v>79</v>
      </c>
      <c r="B235" s="6" t="s">
        <v>237</v>
      </c>
      <c r="C235" s="6" t="s">
        <v>238</v>
      </c>
      <c r="D235" s="18" t="n">
        <v>1.25</v>
      </c>
      <c r="E235" s="6" t="s">
        <v>234</v>
      </c>
      <c r="F235" s="6" t="s">
        <v>193</v>
      </c>
      <c r="G235" s="6" t="s">
        <v>213</v>
      </c>
      <c r="H235" s="6" t="s">
        <v>214</v>
      </c>
      <c r="I235" s="6" t="s">
        <v>348</v>
      </c>
      <c r="J235" s="6" t="s">
        <v>236</v>
      </c>
      <c r="K235" s="6" t="n">
        <f aca="false">COUNTIFS($A$6:$A$243,A235,$B$6:$B$243,B235)</f>
        <v>1</v>
      </c>
      <c r="L235" s="19" t="str">
        <f aca="false">IF(COUNTIF(Data_Panel!$A$6:$A$44,B235)=0,"not in panel",IF(A235=Data_Panel!$D$5,SUMIFS(Data_Panel!$D$6:$D$44,Data_Panel!$A$6:$A$44,B235),IF(A235=Data_Panel!$E$5,SUMIFS(Data_Panel!$E$6:$E$44,Data_Panel!$A$6:$A$44,B235),IF(A235=Data_Panel!$F$5,SUMIFS(Data_Panel!$F$6:$F$44,Data_Panel!$A$6:$A$44,B235),IF(A235=Data_Panel!$G$5,SUMIFS(Data_Panel!$G$6:$G$44,Data_Panel!$A$6:$A$44,B235),IF(A235=Data_Panel!$H$5,SUMIFS(Data_Panel!$H$6:$H$44,Data_Panel!$A$6:$A$44,B235),IF(A235=Data_Panel!$I$5,SUMIFS(Data_Panel!$I$6:$I$44,Data_Panel!$A$6:$A$44,B235),IF(A235=Data_Panel!$J$5,SUMIFS(Data_Panel!$J$6:$J$44,Data_Panel!$A$6:$A$44,B235),"period not in panel"))))))))</f>
        <v>not in panel</v>
      </c>
      <c r="M235" s="20" t="n">
        <f aca="false">IF(L235="not in panel",0,ABS(N(L235)-D235))</f>
        <v>0</v>
      </c>
    </row>
    <row r="236" customFormat="false" ht="15" hidden="false" customHeight="false" outlineLevel="0" collapsed="false">
      <c r="A236" s="6" t="s">
        <v>79</v>
      </c>
      <c r="B236" s="6" t="s">
        <v>165</v>
      </c>
      <c r="C236" s="6" t="s">
        <v>240</v>
      </c>
      <c r="D236" s="18" t="n">
        <v>122306</v>
      </c>
      <c r="E236" s="6" t="s">
        <v>167</v>
      </c>
      <c r="F236" s="6" t="s">
        <v>193</v>
      </c>
      <c r="G236" s="6" t="s">
        <v>213</v>
      </c>
      <c r="H236" s="6" t="s">
        <v>214</v>
      </c>
      <c r="I236" s="6" t="s">
        <v>349</v>
      </c>
      <c r="J236" s="6" t="s">
        <v>236</v>
      </c>
      <c r="K236" s="6" t="n">
        <f aca="false">COUNTIFS($A$6:$A$243,A236,$B$6:$B$243,B236)</f>
        <v>1</v>
      </c>
      <c r="L236" s="19" t="n">
        <f aca="false">IF(COUNTIF(Data_Panel!$A$6:$A$44,B236)=0,"not in panel",IF(A236=Data_Panel!$D$5,SUMIFS(Data_Panel!$D$6:$D$44,Data_Panel!$A$6:$A$44,B236),IF(A236=Data_Panel!$E$5,SUMIFS(Data_Panel!$E$6:$E$44,Data_Panel!$A$6:$A$44,B236),IF(A236=Data_Panel!$F$5,SUMIFS(Data_Panel!$F$6:$F$44,Data_Panel!$A$6:$A$44,B236),IF(A236=Data_Panel!$G$5,SUMIFS(Data_Panel!$G$6:$G$44,Data_Panel!$A$6:$A$44,B236),IF(A236=Data_Panel!$H$5,SUMIFS(Data_Panel!$H$6:$H$44,Data_Panel!$A$6:$A$44,B236),IF(A236=Data_Panel!$I$5,SUMIFS(Data_Panel!$I$6:$I$44,Data_Panel!$A$6:$A$44,B236),IF(A236=Data_Panel!$J$5,SUMIFS(Data_Panel!$J$6:$J$44,Data_Panel!$A$6:$A$44,B236),"period not in panel"))))))))</f>
        <v>122306</v>
      </c>
      <c r="M236" s="20" t="n">
        <f aca="false">IF(L236="not in panel",0,ABS(N(L236)-D236))</f>
        <v>0</v>
      </c>
    </row>
    <row r="237" customFormat="false" ht="15" hidden="false" customHeight="false" outlineLevel="0" collapsed="false">
      <c r="A237" s="6" t="s">
        <v>79</v>
      </c>
      <c r="B237" s="6" t="s">
        <v>168</v>
      </c>
      <c r="C237" s="6" t="s">
        <v>169</v>
      </c>
      <c r="D237" s="18" t="n">
        <v>120508</v>
      </c>
      <c r="E237" s="6" t="s">
        <v>167</v>
      </c>
      <c r="F237" s="6" t="s">
        <v>193</v>
      </c>
      <c r="G237" s="6" t="s">
        <v>213</v>
      </c>
      <c r="H237" s="6" t="s">
        <v>214</v>
      </c>
      <c r="I237" s="6" t="s">
        <v>350</v>
      </c>
      <c r="J237" s="6" t="s">
        <v>236</v>
      </c>
      <c r="K237" s="6" t="n">
        <f aca="false">COUNTIFS($A$6:$A$243,A237,$B$6:$B$243,B237)</f>
        <v>1</v>
      </c>
      <c r="L237" s="19" t="n">
        <f aca="false">IF(COUNTIF(Data_Panel!$A$6:$A$44,B237)=0,"not in panel",IF(A237=Data_Panel!$D$5,SUMIFS(Data_Panel!$D$6:$D$44,Data_Panel!$A$6:$A$44,B237),IF(A237=Data_Panel!$E$5,SUMIFS(Data_Panel!$E$6:$E$44,Data_Panel!$A$6:$A$44,B237),IF(A237=Data_Panel!$F$5,SUMIFS(Data_Panel!$F$6:$F$44,Data_Panel!$A$6:$A$44,B237),IF(A237=Data_Panel!$G$5,SUMIFS(Data_Panel!$G$6:$G$44,Data_Panel!$A$6:$A$44,B237),IF(A237=Data_Panel!$H$5,SUMIFS(Data_Panel!$H$6:$H$44,Data_Panel!$A$6:$A$44,B237),IF(A237=Data_Panel!$I$5,SUMIFS(Data_Panel!$I$6:$I$44,Data_Panel!$A$6:$A$44,B237),IF(A237=Data_Panel!$J$5,SUMIFS(Data_Panel!$J$6:$J$44,Data_Panel!$A$6:$A$44,B237),"period not in panel"))))))))</f>
        <v>120508</v>
      </c>
      <c r="M237" s="20" t="n">
        <f aca="false">IF(L237="not in panel",0,ABS(N(L237)-D237))</f>
        <v>0</v>
      </c>
    </row>
    <row r="238" customFormat="false" ht="15" hidden="false" customHeight="false" outlineLevel="0" collapsed="false">
      <c r="A238" s="6" t="s">
        <v>79</v>
      </c>
      <c r="B238" s="6" t="s">
        <v>170</v>
      </c>
      <c r="C238" s="6" t="s">
        <v>243</v>
      </c>
      <c r="D238" s="18" t="n">
        <v>126</v>
      </c>
      <c r="E238" s="6" t="s">
        <v>172</v>
      </c>
      <c r="F238" s="6" t="s">
        <v>193</v>
      </c>
      <c r="G238" s="6" t="s">
        <v>194</v>
      </c>
      <c r="H238" s="6" t="s">
        <v>150</v>
      </c>
      <c r="I238" s="6" t="s">
        <v>351</v>
      </c>
      <c r="J238" s="6" t="s">
        <v>245</v>
      </c>
      <c r="K238" s="6" t="n">
        <f aca="false">COUNTIFS($A$6:$A$243,A238,$B$6:$B$243,B238)</f>
        <v>1</v>
      </c>
      <c r="L238" s="19" t="n">
        <f aca="false">IF(COUNTIF(Data_Panel!$A$6:$A$44,B238)=0,"not in panel",IF(A238=Data_Panel!$D$5,SUMIFS(Data_Panel!$D$6:$D$44,Data_Panel!$A$6:$A$44,B238),IF(A238=Data_Panel!$E$5,SUMIFS(Data_Panel!$E$6:$E$44,Data_Panel!$A$6:$A$44,B238),IF(A238=Data_Panel!$F$5,SUMIFS(Data_Panel!$F$6:$F$44,Data_Panel!$A$6:$A$44,B238),IF(A238=Data_Panel!$G$5,SUMIFS(Data_Panel!$G$6:$G$44,Data_Panel!$A$6:$A$44,B238),IF(A238=Data_Panel!$H$5,SUMIFS(Data_Panel!$H$6:$H$44,Data_Panel!$A$6:$A$44,B238),IF(A238=Data_Panel!$I$5,SUMIFS(Data_Panel!$I$6:$I$44,Data_Panel!$A$6:$A$44,B238),IF(A238=Data_Panel!$J$5,SUMIFS(Data_Panel!$J$6:$J$44,Data_Panel!$A$6:$A$44,B238),"period not in panel"))))))))</f>
        <v>126</v>
      </c>
      <c r="M238" s="20" t="n">
        <f aca="false">IF(L238="not in panel",0,ABS(N(L238)-D238))</f>
        <v>0</v>
      </c>
    </row>
    <row r="239" customFormat="false" ht="15" hidden="false" customHeight="false" outlineLevel="0" collapsed="false">
      <c r="A239" s="6" t="s">
        <v>79</v>
      </c>
      <c r="B239" s="6" t="s">
        <v>174</v>
      </c>
      <c r="C239" s="6" t="s">
        <v>246</v>
      </c>
      <c r="D239" s="18" t="n">
        <v>19.4</v>
      </c>
      <c r="E239" s="6" t="s">
        <v>106</v>
      </c>
      <c r="F239" s="6" t="s">
        <v>193</v>
      </c>
      <c r="G239" s="6" t="s">
        <v>194</v>
      </c>
      <c r="H239" s="6" t="s">
        <v>332</v>
      </c>
      <c r="I239" s="6" t="s">
        <v>317</v>
      </c>
      <c r="J239" s="6" t="s">
        <v>199</v>
      </c>
      <c r="K239" s="6" t="n">
        <f aca="false">COUNTIFS($A$6:$A$243,A239,$B$6:$B$243,B239)</f>
        <v>1</v>
      </c>
      <c r="L239" s="19" t="n">
        <f aca="false">IF(COUNTIF(Data_Panel!$A$6:$A$44,B239)=0,"not in panel",IF(A239=Data_Panel!$D$5,SUMIFS(Data_Panel!$D$6:$D$44,Data_Panel!$A$6:$A$44,B239),IF(A239=Data_Panel!$E$5,SUMIFS(Data_Panel!$E$6:$E$44,Data_Panel!$A$6:$A$44,B239),IF(A239=Data_Panel!$F$5,SUMIFS(Data_Panel!$F$6:$F$44,Data_Panel!$A$6:$A$44,B239),IF(A239=Data_Panel!$G$5,SUMIFS(Data_Panel!$G$6:$G$44,Data_Panel!$A$6:$A$44,B239),IF(A239=Data_Panel!$H$5,SUMIFS(Data_Panel!$H$6:$H$44,Data_Panel!$A$6:$A$44,B239),IF(A239=Data_Panel!$I$5,SUMIFS(Data_Panel!$I$6:$I$44,Data_Panel!$A$6:$A$44,B239),IF(A239=Data_Panel!$J$5,SUMIFS(Data_Panel!$J$6:$J$44,Data_Panel!$A$6:$A$44,B239),"period not in panel"))))))))</f>
        <v>19.4</v>
      </c>
      <c r="M239" s="20" t="n">
        <f aca="false">IF(L239="not in panel",0,ABS(N(L239)-D239))</f>
        <v>0</v>
      </c>
    </row>
    <row r="240" customFormat="false" ht="15" hidden="false" customHeight="false" outlineLevel="0" collapsed="false">
      <c r="A240" s="6" t="s">
        <v>79</v>
      </c>
      <c r="B240" s="6" t="s">
        <v>140</v>
      </c>
      <c r="C240" s="6" t="s">
        <v>141</v>
      </c>
      <c r="D240" s="18" t="n">
        <v>100</v>
      </c>
      <c r="E240" s="6" t="s">
        <v>83</v>
      </c>
      <c r="F240" s="6" t="s">
        <v>193</v>
      </c>
      <c r="G240" s="6" t="s">
        <v>194</v>
      </c>
      <c r="H240" s="6" t="s">
        <v>150</v>
      </c>
      <c r="I240" s="6" t="s">
        <v>352</v>
      </c>
      <c r="J240" s="6" t="s">
        <v>319</v>
      </c>
      <c r="K240" s="6" t="n">
        <f aca="false">COUNTIFS($A$6:$A$243,A240,$B$6:$B$243,B240)</f>
        <v>1</v>
      </c>
      <c r="L240" s="19" t="n">
        <f aca="false">IF(COUNTIF(Data_Panel!$A$6:$A$44,B240)=0,"not in panel",IF(A240=Data_Panel!$D$5,SUMIFS(Data_Panel!$D$6:$D$44,Data_Panel!$A$6:$A$44,B240),IF(A240=Data_Panel!$E$5,SUMIFS(Data_Panel!$E$6:$E$44,Data_Panel!$A$6:$A$44,B240),IF(A240=Data_Panel!$F$5,SUMIFS(Data_Panel!$F$6:$F$44,Data_Panel!$A$6:$A$44,B240),IF(A240=Data_Panel!$G$5,SUMIFS(Data_Panel!$G$6:$G$44,Data_Panel!$A$6:$A$44,B240),IF(A240=Data_Panel!$H$5,SUMIFS(Data_Panel!$H$6:$H$44,Data_Panel!$A$6:$A$44,B240),IF(A240=Data_Panel!$I$5,SUMIFS(Data_Panel!$I$6:$I$44,Data_Panel!$A$6:$A$44,B240),IF(A240=Data_Panel!$J$5,SUMIFS(Data_Panel!$J$6:$J$44,Data_Panel!$A$6:$A$44,B240),"period not in panel"))))))))</f>
        <v>100</v>
      </c>
      <c r="M240" s="20" t="n">
        <f aca="false">IF(L240="not in panel",0,ABS(N(L240)-D240))</f>
        <v>0</v>
      </c>
    </row>
    <row r="241" customFormat="false" ht="15" hidden="false" customHeight="false" outlineLevel="0" collapsed="false">
      <c r="A241" s="6" t="s">
        <v>79</v>
      </c>
      <c r="B241" s="6" t="s">
        <v>145</v>
      </c>
      <c r="C241" s="6" t="s">
        <v>146</v>
      </c>
      <c r="D241" s="18" t="n">
        <v>400</v>
      </c>
      <c r="E241" s="6" t="s">
        <v>83</v>
      </c>
      <c r="F241" s="6" t="s">
        <v>193</v>
      </c>
      <c r="G241" s="6" t="s">
        <v>194</v>
      </c>
      <c r="H241" s="6" t="s">
        <v>150</v>
      </c>
      <c r="I241" s="6" t="s">
        <v>353</v>
      </c>
      <c r="J241" s="6" t="s">
        <v>319</v>
      </c>
      <c r="K241" s="6" t="n">
        <f aca="false">COUNTIFS($A$6:$A$243,A241,$B$6:$B$243,B241)</f>
        <v>1</v>
      </c>
      <c r="L241" s="19" t="n">
        <f aca="false">IF(COUNTIF(Data_Panel!$A$6:$A$44,B241)=0,"not in panel",IF(A241=Data_Panel!$D$5,SUMIFS(Data_Panel!$D$6:$D$44,Data_Panel!$A$6:$A$44,B241),IF(A241=Data_Panel!$E$5,SUMIFS(Data_Panel!$E$6:$E$44,Data_Panel!$A$6:$A$44,B241),IF(A241=Data_Panel!$F$5,SUMIFS(Data_Panel!$F$6:$F$44,Data_Panel!$A$6:$A$44,B241),IF(A241=Data_Panel!$G$5,SUMIFS(Data_Panel!$G$6:$G$44,Data_Panel!$A$6:$A$44,B241),IF(A241=Data_Panel!$H$5,SUMIFS(Data_Panel!$H$6:$H$44,Data_Panel!$A$6:$A$44,B241),IF(A241=Data_Panel!$I$5,SUMIFS(Data_Panel!$I$6:$I$44,Data_Panel!$A$6:$A$44,B241),IF(A241=Data_Panel!$J$5,SUMIFS(Data_Panel!$J$6:$J$44,Data_Panel!$A$6:$A$44,B241),"period not in panel"))))))))</f>
        <v>400</v>
      </c>
      <c r="M241" s="20" t="n">
        <f aca="false">IF(L241="not in panel",0,ABS(N(L241)-D241))</f>
        <v>0</v>
      </c>
    </row>
    <row r="242" customFormat="false" ht="15" hidden="false" customHeight="false" outlineLevel="0" collapsed="false">
      <c r="A242" s="6" t="s">
        <v>79</v>
      </c>
      <c r="B242" s="6" t="s">
        <v>148</v>
      </c>
      <c r="C242" s="6" t="s">
        <v>354</v>
      </c>
      <c r="D242" s="18" t="n">
        <v>300</v>
      </c>
      <c r="E242" s="6" t="s">
        <v>83</v>
      </c>
      <c r="F242" s="6" t="s">
        <v>193</v>
      </c>
      <c r="G242" s="6" t="s">
        <v>194</v>
      </c>
      <c r="H242" s="6" t="s">
        <v>150</v>
      </c>
      <c r="I242" s="6" t="s">
        <v>352</v>
      </c>
      <c r="J242" s="6" t="s">
        <v>319</v>
      </c>
      <c r="K242" s="6" t="n">
        <f aca="false">COUNTIFS($A$6:$A$243,A242,$B$6:$B$243,B242)</f>
        <v>1</v>
      </c>
      <c r="L242" s="19" t="n">
        <f aca="false">IF(COUNTIF(Data_Panel!$A$6:$A$44,B242)=0,"not in panel",IF(A242=Data_Panel!$D$5,SUMIFS(Data_Panel!$D$6:$D$44,Data_Panel!$A$6:$A$44,B242),IF(A242=Data_Panel!$E$5,SUMIFS(Data_Panel!$E$6:$E$44,Data_Panel!$A$6:$A$44,B242),IF(A242=Data_Panel!$F$5,SUMIFS(Data_Panel!$F$6:$F$44,Data_Panel!$A$6:$A$44,B242),IF(A242=Data_Panel!$G$5,SUMIFS(Data_Panel!$G$6:$G$44,Data_Panel!$A$6:$A$44,B242),IF(A242=Data_Panel!$H$5,SUMIFS(Data_Panel!$H$6:$H$44,Data_Panel!$A$6:$A$44,B242),IF(A242=Data_Panel!$I$5,SUMIFS(Data_Panel!$I$6:$I$44,Data_Panel!$A$6:$A$44,B242),IF(A242=Data_Panel!$J$5,SUMIFS(Data_Panel!$J$6:$J$44,Data_Panel!$A$6:$A$44,B242),"period not in panel"))))))))</f>
        <v>300</v>
      </c>
      <c r="M242" s="20" t="n">
        <f aca="false">IF(L242="not in panel",0,ABS(N(L242)-D242))</f>
        <v>0</v>
      </c>
    </row>
    <row r="243" customFormat="false" ht="15" hidden="false" customHeight="false" outlineLevel="0" collapsed="false">
      <c r="A243" s="6" t="s">
        <v>79</v>
      </c>
      <c r="B243" s="6" t="s">
        <v>151</v>
      </c>
      <c r="C243" s="6" t="s">
        <v>249</v>
      </c>
      <c r="D243" s="18" t="n">
        <v>61</v>
      </c>
      <c r="E243" s="6" t="s">
        <v>83</v>
      </c>
      <c r="F243" s="6" t="s">
        <v>208</v>
      </c>
      <c r="G243" s="6" t="s">
        <v>194</v>
      </c>
      <c r="H243" s="6" t="s">
        <v>332</v>
      </c>
      <c r="I243" s="6" t="s">
        <v>355</v>
      </c>
      <c r="J243" s="6" t="s">
        <v>197</v>
      </c>
      <c r="K243" s="6" t="n">
        <f aca="false">COUNTIFS($A$6:$A$243,A243,$B$6:$B$243,B243)</f>
        <v>1</v>
      </c>
      <c r="L243" s="19" t="n">
        <f aca="false">IF(COUNTIF(Data_Panel!$A$6:$A$44,B243)=0,"not in panel",IF(A243=Data_Panel!$D$5,SUMIFS(Data_Panel!$D$6:$D$44,Data_Panel!$A$6:$A$44,B243),IF(A243=Data_Panel!$E$5,SUMIFS(Data_Panel!$E$6:$E$44,Data_Panel!$A$6:$A$44,B243),IF(A243=Data_Panel!$F$5,SUMIFS(Data_Panel!$F$6:$F$44,Data_Panel!$A$6:$A$44,B243),IF(A243=Data_Panel!$G$5,SUMIFS(Data_Panel!$G$6:$G$44,Data_Panel!$A$6:$A$44,B243),IF(A243=Data_Panel!$H$5,SUMIFS(Data_Panel!$H$6:$H$44,Data_Panel!$A$6:$A$44,B243),IF(A243=Data_Panel!$I$5,SUMIFS(Data_Panel!$I$6:$I$44,Data_Panel!$A$6:$A$44,B243),IF(A243=Data_Panel!$J$5,SUMIFS(Data_Panel!$J$6:$J$44,Data_Panel!$A$6:$A$44,B243),"period not in panel"))))))))</f>
        <v>61</v>
      </c>
      <c r="M243" s="20" t="n">
        <f aca="false">IF(L243="not in panel",0,ABS(N(L243)-D243))</f>
        <v>0</v>
      </c>
    </row>
  </sheetData>
  <autoFilter ref="A5:M243"/>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5A5A5"/>
    <pageSetUpPr fitToPage="true"/>
  </sheetPr>
  <dimension ref="A1:I88"/>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3" min="1" style="0" width="10"/>
    <col collapsed="false" customWidth="true" hidden="false" outlineLevel="0" max="4" min="4" style="0" width="22"/>
    <col collapsed="false" customWidth="true" hidden="false" outlineLevel="0" max="5" min="5" style="0" width="10"/>
    <col collapsed="false" customWidth="true" hidden="false" outlineLevel="0" max="6" min="6" style="0" width="12"/>
    <col collapsed="false" customWidth="true" hidden="false" outlineLevel="0" max="7" min="7" style="0" width="10"/>
    <col collapsed="false" customWidth="true" hidden="false" outlineLevel="0" max="8" min="8" style="0" width="9"/>
    <col collapsed="false" customWidth="true" hidden="false" outlineLevel="0" max="9" min="9" style="0" width="40"/>
  </cols>
  <sheetData>
    <row r="1" customFormat="false" ht="17.35" hidden="false" customHeight="false" outlineLevel="0" collapsed="false">
      <c r="A1" s="1" t="s">
        <v>356</v>
      </c>
    </row>
    <row r="2" customFormat="false" ht="15" hidden="false" customHeight="false" outlineLevel="0" collapsed="false">
      <c r="A2" s="2" t="s">
        <v>357</v>
      </c>
    </row>
    <row r="5" customFormat="false" ht="23.85" hidden="false" customHeight="false" outlineLevel="0" collapsed="false">
      <c r="A5" s="13" t="s">
        <v>181</v>
      </c>
      <c r="B5" s="13" t="s">
        <v>358</v>
      </c>
      <c r="C5" s="13" t="s">
        <v>359</v>
      </c>
      <c r="D5" s="13" t="s">
        <v>360</v>
      </c>
      <c r="E5" s="13" t="s">
        <v>361</v>
      </c>
      <c r="F5" s="13" t="s">
        <v>362</v>
      </c>
      <c r="G5" s="13" t="s">
        <v>185</v>
      </c>
      <c r="H5" s="13" t="s">
        <v>187</v>
      </c>
      <c r="I5" s="13" t="s">
        <v>188</v>
      </c>
    </row>
    <row r="6" customFormat="false" ht="15" hidden="false" customHeight="false" outlineLevel="0" collapsed="false">
      <c r="A6" s="6" t="s">
        <v>73</v>
      </c>
      <c r="B6" s="6" t="s">
        <v>363</v>
      </c>
      <c r="C6" s="6" t="s">
        <v>364</v>
      </c>
      <c r="D6" s="6" t="s">
        <v>365</v>
      </c>
      <c r="E6" s="6" t="s">
        <v>366</v>
      </c>
      <c r="F6" s="21" t="n">
        <v>11035</v>
      </c>
      <c r="G6" s="6" t="s">
        <v>193</v>
      </c>
      <c r="H6" s="6" t="s">
        <v>214</v>
      </c>
      <c r="I6" s="6" t="s">
        <v>367</v>
      </c>
    </row>
    <row r="7" customFormat="false" ht="15" hidden="false" customHeight="false" outlineLevel="0" collapsed="false">
      <c r="A7" s="6" t="s">
        <v>73</v>
      </c>
      <c r="B7" s="6" t="s">
        <v>363</v>
      </c>
      <c r="C7" s="6" t="s">
        <v>368</v>
      </c>
      <c r="D7" s="6" t="s">
        <v>368</v>
      </c>
      <c r="E7" s="6" t="s">
        <v>366</v>
      </c>
      <c r="F7" s="21" t="n">
        <v>26124</v>
      </c>
      <c r="G7" s="6" t="s">
        <v>193</v>
      </c>
      <c r="H7" s="6" t="s">
        <v>214</v>
      </c>
      <c r="I7" s="6" t="s">
        <v>369</v>
      </c>
    </row>
    <row r="8" customFormat="false" ht="15" hidden="false" customHeight="false" outlineLevel="0" collapsed="false">
      <c r="A8" s="6" t="s">
        <v>73</v>
      </c>
      <c r="B8" s="6" t="s">
        <v>363</v>
      </c>
      <c r="C8" s="6" t="s">
        <v>370</v>
      </c>
      <c r="D8" s="6" t="s">
        <v>371</v>
      </c>
      <c r="E8" s="6" t="s">
        <v>366</v>
      </c>
      <c r="F8" s="21" t="n">
        <v>46884</v>
      </c>
      <c r="G8" s="6" t="s">
        <v>193</v>
      </c>
      <c r="H8" s="6" t="s">
        <v>214</v>
      </c>
      <c r="I8" s="6" t="s">
        <v>372</v>
      </c>
    </row>
    <row r="9" customFormat="false" ht="15" hidden="false" customHeight="false" outlineLevel="0" collapsed="false">
      <c r="A9" s="6" t="s">
        <v>73</v>
      </c>
      <c r="B9" s="6" t="s">
        <v>363</v>
      </c>
      <c r="C9" s="6" t="s">
        <v>373</v>
      </c>
      <c r="D9" s="6" t="s">
        <v>374</v>
      </c>
      <c r="E9" s="6" t="s">
        <v>366</v>
      </c>
      <c r="F9" s="21" t="n">
        <v>47755</v>
      </c>
      <c r="G9" s="6" t="s">
        <v>193</v>
      </c>
      <c r="H9" s="6" t="s">
        <v>214</v>
      </c>
      <c r="I9" s="6" t="s">
        <v>375</v>
      </c>
    </row>
    <row r="10" customFormat="false" ht="15" hidden="false" customHeight="false" outlineLevel="0" collapsed="false">
      <c r="A10" s="6" t="s">
        <v>73</v>
      </c>
      <c r="B10" s="6" t="s">
        <v>363</v>
      </c>
      <c r="C10" s="6" t="s">
        <v>376</v>
      </c>
      <c r="D10" s="6" t="s">
        <v>377</v>
      </c>
      <c r="E10" s="6" t="s">
        <v>366</v>
      </c>
      <c r="F10" s="21" t="n">
        <v>17565</v>
      </c>
      <c r="G10" s="6" t="s">
        <v>193</v>
      </c>
      <c r="H10" s="6" t="s">
        <v>214</v>
      </c>
      <c r="I10" s="6" t="s">
        <v>378</v>
      </c>
    </row>
    <row r="11" customFormat="false" ht="15" hidden="false" customHeight="false" outlineLevel="0" collapsed="false">
      <c r="A11" s="6" t="s">
        <v>73</v>
      </c>
      <c r="B11" s="6" t="s">
        <v>363</v>
      </c>
      <c r="C11" s="6" t="s">
        <v>379</v>
      </c>
      <c r="D11" s="6" t="s">
        <v>380</v>
      </c>
      <c r="E11" s="6" t="s">
        <v>366</v>
      </c>
      <c r="F11" s="21" t="n">
        <v>17991</v>
      </c>
      <c r="G11" s="6" t="s">
        <v>193</v>
      </c>
      <c r="H11" s="6" t="s">
        <v>214</v>
      </c>
      <c r="I11" s="6" t="s">
        <v>381</v>
      </c>
    </row>
    <row r="12" customFormat="false" ht="15" hidden="false" customHeight="false" outlineLevel="0" collapsed="false">
      <c r="A12" s="6" t="s">
        <v>73</v>
      </c>
      <c r="B12" s="6" t="s">
        <v>382</v>
      </c>
      <c r="C12" s="6" t="s">
        <v>383</v>
      </c>
      <c r="D12" s="6" t="s">
        <v>384</v>
      </c>
      <c r="E12" s="6" t="s">
        <v>366</v>
      </c>
      <c r="F12" s="21" t="n">
        <v>43832</v>
      </c>
      <c r="G12" s="6" t="s">
        <v>193</v>
      </c>
      <c r="H12" s="6" t="s">
        <v>214</v>
      </c>
      <c r="I12" s="6" t="s">
        <v>385</v>
      </c>
    </row>
    <row r="13" customFormat="false" ht="15" hidden="false" customHeight="false" outlineLevel="0" collapsed="false">
      <c r="A13" s="6" t="s">
        <v>73</v>
      </c>
      <c r="B13" s="6" t="s">
        <v>382</v>
      </c>
      <c r="C13" s="6" t="s">
        <v>386</v>
      </c>
      <c r="D13" s="6" t="s">
        <v>387</v>
      </c>
      <c r="E13" s="6" t="s">
        <v>366</v>
      </c>
      <c r="F13" s="21" t="n">
        <v>17118</v>
      </c>
      <c r="G13" s="6" t="s">
        <v>193</v>
      </c>
      <c r="H13" s="6" t="s">
        <v>214</v>
      </c>
      <c r="I13" s="6" t="s">
        <v>388</v>
      </c>
    </row>
    <row r="14" customFormat="false" ht="15" hidden="false" customHeight="false" outlineLevel="0" collapsed="false">
      <c r="A14" s="6" t="s">
        <v>73</v>
      </c>
      <c r="B14" s="6" t="s">
        <v>382</v>
      </c>
      <c r="C14" s="6" t="s">
        <v>389</v>
      </c>
      <c r="D14" s="6" t="s">
        <v>390</v>
      </c>
      <c r="E14" s="6" t="s">
        <v>366</v>
      </c>
      <c r="F14" s="21" t="n">
        <v>36574</v>
      </c>
      <c r="G14" s="6" t="s">
        <v>193</v>
      </c>
      <c r="H14" s="6" t="s">
        <v>214</v>
      </c>
      <c r="I14" s="6" t="s">
        <v>391</v>
      </c>
    </row>
    <row r="15" customFormat="false" ht="15" hidden="false" customHeight="false" outlineLevel="0" collapsed="false">
      <c r="A15" s="6" t="s">
        <v>73</v>
      </c>
      <c r="B15" s="6" t="s">
        <v>382</v>
      </c>
      <c r="C15" s="6" t="s">
        <v>392</v>
      </c>
      <c r="D15" s="6" t="s">
        <v>393</v>
      </c>
      <c r="E15" s="6" t="s">
        <v>366</v>
      </c>
      <c r="F15" s="21" t="n">
        <v>41937</v>
      </c>
      <c r="G15" s="6" t="s">
        <v>193</v>
      </c>
      <c r="H15" s="6" t="s">
        <v>214</v>
      </c>
      <c r="I15" s="6" t="s">
        <v>394</v>
      </c>
    </row>
    <row r="16" customFormat="false" ht="15" hidden="false" customHeight="false" outlineLevel="0" collapsed="false">
      <c r="A16" s="6" t="s">
        <v>73</v>
      </c>
      <c r="B16" s="6" t="s">
        <v>382</v>
      </c>
      <c r="C16" s="6" t="s">
        <v>395</v>
      </c>
      <c r="D16" s="6" t="s">
        <v>396</v>
      </c>
      <c r="E16" s="6" t="s">
        <v>366</v>
      </c>
      <c r="F16" s="21" t="n">
        <v>27893</v>
      </c>
      <c r="G16" s="6" t="s">
        <v>193</v>
      </c>
      <c r="H16" s="6" t="s">
        <v>214</v>
      </c>
      <c r="I16" s="6" t="s">
        <v>397</v>
      </c>
    </row>
    <row r="17" customFormat="false" ht="15" hidden="false" customHeight="false" outlineLevel="0" collapsed="false">
      <c r="A17" s="6" t="s">
        <v>74</v>
      </c>
      <c r="B17" s="6" t="s">
        <v>363</v>
      </c>
      <c r="C17" s="6" t="s">
        <v>364</v>
      </c>
      <c r="D17" s="6" t="s">
        <v>365</v>
      </c>
      <c r="E17" s="6" t="s">
        <v>366</v>
      </c>
      <c r="F17" s="21" t="n">
        <v>9483</v>
      </c>
      <c r="G17" s="6" t="s">
        <v>208</v>
      </c>
      <c r="H17" s="6"/>
      <c r="I17" s="6" t="s">
        <v>398</v>
      </c>
    </row>
    <row r="18" customFormat="false" ht="15" hidden="false" customHeight="false" outlineLevel="0" collapsed="false">
      <c r="A18" s="6" t="s">
        <v>74</v>
      </c>
      <c r="B18" s="6" t="s">
        <v>363</v>
      </c>
      <c r="C18" s="6" t="s">
        <v>368</v>
      </c>
      <c r="D18" s="6" t="s">
        <v>368</v>
      </c>
      <c r="E18" s="6" t="s">
        <v>366</v>
      </c>
      <c r="F18" s="21" t="n">
        <v>24022</v>
      </c>
      <c r="G18" s="6" t="s">
        <v>208</v>
      </c>
      <c r="H18" s="6"/>
      <c r="I18" s="6" t="s">
        <v>398</v>
      </c>
    </row>
    <row r="19" customFormat="false" ht="15" hidden="false" customHeight="false" outlineLevel="0" collapsed="false">
      <c r="A19" s="6" t="s">
        <v>74</v>
      </c>
      <c r="B19" s="6" t="s">
        <v>363</v>
      </c>
      <c r="C19" s="6" t="s">
        <v>370</v>
      </c>
      <c r="D19" s="6" t="s">
        <v>371</v>
      </c>
      <c r="E19" s="6" t="s">
        <v>366</v>
      </c>
      <c r="F19" s="21" t="n">
        <v>40669</v>
      </c>
      <c r="G19" s="6" t="s">
        <v>208</v>
      </c>
      <c r="H19" s="6"/>
      <c r="I19" s="6" t="s">
        <v>398</v>
      </c>
    </row>
    <row r="20" customFormat="false" ht="15" hidden="false" customHeight="false" outlineLevel="0" collapsed="false">
      <c r="A20" s="6" t="s">
        <v>74</v>
      </c>
      <c r="B20" s="6" t="s">
        <v>363</v>
      </c>
      <c r="C20" s="6" t="s">
        <v>373</v>
      </c>
      <c r="D20" s="6" t="s">
        <v>374</v>
      </c>
      <c r="E20" s="6" t="s">
        <v>366</v>
      </c>
      <c r="F20" s="21" t="n">
        <v>39600</v>
      </c>
      <c r="G20" s="6" t="s">
        <v>208</v>
      </c>
      <c r="H20" s="6"/>
      <c r="I20" s="6" t="s">
        <v>398</v>
      </c>
    </row>
    <row r="21" customFormat="false" ht="15" hidden="false" customHeight="false" outlineLevel="0" collapsed="false">
      <c r="A21" s="6" t="s">
        <v>74</v>
      </c>
      <c r="B21" s="6" t="s">
        <v>363</v>
      </c>
      <c r="C21" s="6" t="s">
        <v>376</v>
      </c>
      <c r="D21" s="6" t="s">
        <v>377</v>
      </c>
      <c r="E21" s="6" t="s">
        <v>366</v>
      </c>
      <c r="F21" s="21" t="n">
        <v>16455</v>
      </c>
      <c r="G21" s="6" t="s">
        <v>208</v>
      </c>
      <c r="H21" s="6"/>
      <c r="I21" s="6" t="s">
        <v>398</v>
      </c>
    </row>
    <row r="22" customFormat="false" ht="15" hidden="false" customHeight="false" outlineLevel="0" collapsed="false">
      <c r="A22" s="6" t="s">
        <v>74</v>
      </c>
      <c r="B22" s="6" t="s">
        <v>363</v>
      </c>
      <c r="C22" s="6" t="s">
        <v>379</v>
      </c>
      <c r="D22" s="6" t="s">
        <v>380</v>
      </c>
      <c r="E22" s="6" t="s">
        <v>366</v>
      </c>
      <c r="F22" s="21" t="n">
        <v>22638</v>
      </c>
      <c r="G22" s="6" t="s">
        <v>208</v>
      </c>
      <c r="H22" s="6"/>
      <c r="I22" s="6" t="s">
        <v>398</v>
      </c>
    </row>
    <row r="23" customFormat="false" ht="15" hidden="false" customHeight="false" outlineLevel="0" collapsed="false">
      <c r="A23" s="6" t="s">
        <v>74</v>
      </c>
      <c r="B23" s="6" t="s">
        <v>382</v>
      </c>
      <c r="C23" s="6" t="s">
        <v>383</v>
      </c>
      <c r="D23" s="6" t="s">
        <v>384</v>
      </c>
      <c r="E23" s="6" t="s">
        <v>366</v>
      </c>
      <c r="F23" s="21" t="n">
        <v>35451</v>
      </c>
      <c r="G23" s="6" t="s">
        <v>208</v>
      </c>
      <c r="H23" s="6"/>
      <c r="I23" s="6" t="s">
        <v>398</v>
      </c>
    </row>
    <row r="24" customFormat="false" ht="15" hidden="false" customHeight="false" outlineLevel="0" collapsed="false">
      <c r="A24" s="6" t="s">
        <v>74</v>
      </c>
      <c r="B24" s="6" t="s">
        <v>382</v>
      </c>
      <c r="C24" s="6" t="s">
        <v>386</v>
      </c>
      <c r="D24" s="6" t="s">
        <v>387</v>
      </c>
      <c r="E24" s="6" t="s">
        <v>366</v>
      </c>
      <c r="F24" s="21" t="n">
        <v>15312</v>
      </c>
      <c r="G24" s="6" t="s">
        <v>208</v>
      </c>
      <c r="H24" s="6"/>
      <c r="I24" s="6" t="s">
        <v>398</v>
      </c>
    </row>
    <row r="25" customFormat="false" ht="15" hidden="false" customHeight="false" outlineLevel="0" collapsed="false">
      <c r="A25" s="6" t="s">
        <v>74</v>
      </c>
      <c r="B25" s="6" t="s">
        <v>382</v>
      </c>
      <c r="C25" s="6" t="s">
        <v>389</v>
      </c>
      <c r="D25" s="6" t="s">
        <v>390</v>
      </c>
      <c r="E25" s="6" t="s">
        <v>366</v>
      </c>
      <c r="F25" s="21" t="n">
        <v>33655</v>
      </c>
      <c r="G25" s="6" t="s">
        <v>208</v>
      </c>
      <c r="H25" s="6"/>
      <c r="I25" s="6" t="s">
        <v>398</v>
      </c>
    </row>
    <row r="26" customFormat="false" ht="15" hidden="false" customHeight="false" outlineLevel="0" collapsed="false">
      <c r="A26" s="6" t="s">
        <v>74</v>
      </c>
      <c r="B26" s="6" t="s">
        <v>382</v>
      </c>
      <c r="C26" s="6" t="s">
        <v>392</v>
      </c>
      <c r="D26" s="6" t="s">
        <v>393</v>
      </c>
      <c r="E26" s="6" t="s">
        <v>366</v>
      </c>
      <c r="F26" s="21" t="n">
        <v>44122</v>
      </c>
      <c r="G26" s="6" t="s">
        <v>208</v>
      </c>
      <c r="H26" s="6"/>
      <c r="I26" s="6" t="s">
        <v>398</v>
      </c>
    </row>
    <row r="27" customFormat="false" ht="15" hidden="false" customHeight="false" outlineLevel="0" collapsed="false">
      <c r="A27" s="6" t="s">
        <v>74</v>
      </c>
      <c r="B27" s="6" t="s">
        <v>382</v>
      </c>
      <c r="C27" s="6" t="s">
        <v>395</v>
      </c>
      <c r="D27" s="6" t="s">
        <v>396</v>
      </c>
      <c r="E27" s="6" t="s">
        <v>366</v>
      </c>
      <c r="F27" s="21" t="n">
        <v>24327</v>
      </c>
      <c r="G27" s="6" t="s">
        <v>208</v>
      </c>
      <c r="H27" s="6"/>
      <c r="I27" s="6" t="s">
        <v>398</v>
      </c>
    </row>
    <row r="28" customFormat="false" ht="15" hidden="false" customHeight="false" outlineLevel="0" collapsed="false">
      <c r="A28" s="6" t="s">
        <v>75</v>
      </c>
      <c r="B28" s="6" t="s">
        <v>363</v>
      </c>
      <c r="C28" s="6" t="s">
        <v>364</v>
      </c>
      <c r="D28" s="6" t="s">
        <v>365</v>
      </c>
      <c r="E28" s="6" t="s">
        <v>366</v>
      </c>
      <c r="F28" s="21" t="n">
        <v>11886</v>
      </c>
      <c r="G28" s="6" t="s">
        <v>193</v>
      </c>
      <c r="H28" s="6" t="s">
        <v>214</v>
      </c>
      <c r="I28" s="6" t="s">
        <v>399</v>
      </c>
    </row>
    <row r="29" customFormat="false" ht="15" hidden="false" customHeight="false" outlineLevel="0" collapsed="false">
      <c r="A29" s="6" t="s">
        <v>75</v>
      </c>
      <c r="B29" s="6" t="s">
        <v>363</v>
      </c>
      <c r="C29" s="6" t="s">
        <v>368</v>
      </c>
      <c r="D29" s="6" t="s">
        <v>368</v>
      </c>
      <c r="E29" s="6" t="s">
        <v>366</v>
      </c>
      <c r="F29" s="21" t="n">
        <v>28212</v>
      </c>
      <c r="G29" s="6" t="s">
        <v>193</v>
      </c>
      <c r="H29" s="6" t="s">
        <v>214</v>
      </c>
      <c r="I29" s="6" t="s">
        <v>400</v>
      </c>
    </row>
    <row r="30" customFormat="false" ht="15" hidden="false" customHeight="false" outlineLevel="0" collapsed="false">
      <c r="A30" s="6" t="s">
        <v>75</v>
      </c>
      <c r="B30" s="6" t="s">
        <v>363</v>
      </c>
      <c r="C30" s="6" t="s">
        <v>370</v>
      </c>
      <c r="D30" s="6" t="s">
        <v>371</v>
      </c>
      <c r="E30" s="6" t="s">
        <v>366</v>
      </c>
      <c r="F30" s="21" t="n">
        <v>54587</v>
      </c>
      <c r="G30" s="6" t="s">
        <v>193</v>
      </c>
      <c r="H30" s="6" t="s">
        <v>214</v>
      </c>
      <c r="I30" s="6" t="s">
        <v>401</v>
      </c>
    </row>
    <row r="31" customFormat="false" ht="15" hidden="false" customHeight="false" outlineLevel="0" collapsed="false">
      <c r="A31" s="6" t="s">
        <v>75</v>
      </c>
      <c r="B31" s="6" t="s">
        <v>363</v>
      </c>
      <c r="C31" s="6" t="s">
        <v>373</v>
      </c>
      <c r="D31" s="6" t="s">
        <v>374</v>
      </c>
      <c r="E31" s="6" t="s">
        <v>366</v>
      </c>
      <c r="F31" s="21" t="n">
        <v>39167</v>
      </c>
      <c r="G31" s="6" t="s">
        <v>193</v>
      </c>
      <c r="H31" s="6" t="s">
        <v>214</v>
      </c>
      <c r="I31" s="6" t="s">
        <v>402</v>
      </c>
    </row>
    <row r="32" customFormat="false" ht="15" hidden="false" customHeight="false" outlineLevel="0" collapsed="false">
      <c r="A32" s="6" t="s">
        <v>75</v>
      </c>
      <c r="B32" s="6" t="s">
        <v>363</v>
      </c>
      <c r="C32" s="6" t="s">
        <v>376</v>
      </c>
      <c r="D32" s="6" t="s">
        <v>377</v>
      </c>
      <c r="E32" s="6" t="s">
        <v>366</v>
      </c>
      <c r="F32" s="21" t="n">
        <v>13255</v>
      </c>
      <c r="G32" s="6" t="s">
        <v>193</v>
      </c>
      <c r="H32" s="6" t="s">
        <v>214</v>
      </c>
      <c r="I32" s="6" t="s">
        <v>403</v>
      </c>
    </row>
    <row r="33" customFormat="false" ht="15" hidden="false" customHeight="false" outlineLevel="0" collapsed="false">
      <c r="A33" s="6" t="s">
        <v>75</v>
      </c>
      <c r="B33" s="6" t="s">
        <v>363</v>
      </c>
      <c r="C33" s="6" t="s">
        <v>379</v>
      </c>
      <c r="D33" s="6" t="s">
        <v>380</v>
      </c>
      <c r="E33" s="6" t="s">
        <v>366</v>
      </c>
      <c r="F33" s="21" t="n">
        <v>8838</v>
      </c>
      <c r="G33" s="6" t="s">
        <v>193</v>
      </c>
      <c r="H33" s="6" t="s">
        <v>214</v>
      </c>
      <c r="I33" s="6" t="s">
        <v>404</v>
      </c>
    </row>
    <row r="34" customFormat="false" ht="15" hidden="false" customHeight="false" outlineLevel="0" collapsed="false">
      <c r="A34" s="6" t="s">
        <v>75</v>
      </c>
      <c r="B34" s="6" t="s">
        <v>382</v>
      </c>
      <c r="C34" s="6" t="s">
        <v>383</v>
      </c>
      <c r="D34" s="6" t="s">
        <v>384</v>
      </c>
      <c r="E34" s="6" t="s">
        <v>366</v>
      </c>
      <c r="F34" s="21" t="n">
        <v>29551</v>
      </c>
      <c r="G34" s="6" t="s">
        <v>193</v>
      </c>
      <c r="H34" s="6" t="s">
        <v>214</v>
      </c>
      <c r="I34" s="6" t="s">
        <v>405</v>
      </c>
    </row>
    <row r="35" customFormat="false" ht="15" hidden="false" customHeight="false" outlineLevel="0" collapsed="false">
      <c r="A35" s="6" t="s">
        <v>75</v>
      </c>
      <c r="B35" s="6" t="s">
        <v>382</v>
      </c>
      <c r="C35" s="6" t="s">
        <v>386</v>
      </c>
      <c r="D35" s="6" t="s">
        <v>387</v>
      </c>
      <c r="E35" s="6" t="s">
        <v>366</v>
      </c>
      <c r="F35" s="21" t="n">
        <v>20811</v>
      </c>
      <c r="G35" s="6" t="s">
        <v>193</v>
      </c>
      <c r="H35" s="6" t="s">
        <v>214</v>
      </c>
      <c r="I35" s="6" t="s">
        <v>406</v>
      </c>
    </row>
    <row r="36" customFormat="false" ht="15" hidden="false" customHeight="false" outlineLevel="0" collapsed="false">
      <c r="A36" s="6" t="s">
        <v>75</v>
      </c>
      <c r="B36" s="6" t="s">
        <v>382</v>
      </c>
      <c r="C36" s="6" t="s">
        <v>389</v>
      </c>
      <c r="D36" s="6" t="s">
        <v>390</v>
      </c>
      <c r="E36" s="6" t="s">
        <v>366</v>
      </c>
      <c r="F36" s="21" t="n">
        <v>38611</v>
      </c>
      <c r="G36" s="6" t="s">
        <v>193</v>
      </c>
      <c r="H36" s="6" t="s">
        <v>214</v>
      </c>
      <c r="I36" s="6" t="s">
        <v>407</v>
      </c>
    </row>
    <row r="37" customFormat="false" ht="15" hidden="false" customHeight="false" outlineLevel="0" collapsed="false">
      <c r="A37" s="6" t="s">
        <v>75</v>
      </c>
      <c r="B37" s="6" t="s">
        <v>382</v>
      </c>
      <c r="C37" s="6" t="s">
        <v>392</v>
      </c>
      <c r="D37" s="6" t="s">
        <v>393</v>
      </c>
      <c r="E37" s="6" t="s">
        <v>366</v>
      </c>
      <c r="F37" s="21" t="n">
        <v>39558</v>
      </c>
      <c r="G37" s="6" t="s">
        <v>193</v>
      </c>
      <c r="H37" s="6" t="s">
        <v>214</v>
      </c>
      <c r="I37" s="6" t="s">
        <v>408</v>
      </c>
    </row>
    <row r="38" customFormat="false" ht="15" hidden="false" customHeight="false" outlineLevel="0" collapsed="false">
      <c r="A38" s="6" t="s">
        <v>75</v>
      </c>
      <c r="B38" s="6" t="s">
        <v>382</v>
      </c>
      <c r="C38" s="6" t="s">
        <v>395</v>
      </c>
      <c r="D38" s="6" t="s">
        <v>396</v>
      </c>
      <c r="E38" s="6" t="s">
        <v>366</v>
      </c>
      <c r="F38" s="21" t="n">
        <v>27414</v>
      </c>
      <c r="G38" s="6" t="s">
        <v>193</v>
      </c>
      <c r="H38" s="6" t="s">
        <v>214</v>
      </c>
      <c r="I38" s="6" t="s">
        <v>409</v>
      </c>
    </row>
    <row r="39" customFormat="false" ht="15" hidden="false" customHeight="false" outlineLevel="0" collapsed="false">
      <c r="A39" s="6" t="s">
        <v>76</v>
      </c>
      <c r="B39" s="6" t="s">
        <v>363</v>
      </c>
      <c r="C39" s="6" t="s">
        <v>364</v>
      </c>
      <c r="D39" s="6" t="s">
        <v>365</v>
      </c>
      <c r="E39" s="6" t="s">
        <v>366</v>
      </c>
      <c r="F39" s="21" t="n">
        <v>11784</v>
      </c>
      <c r="G39" s="6" t="s">
        <v>208</v>
      </c>
      <c r="H39" s="6"/>
      <c r="I39" s="6" t="s">
        <v>398</v>
      </c>
    </row>
    <row r="40" customFormat="false" ht="15" hidden="false" customHeight="false" outlineLevel="0" collapsed="false">
      <c r="A40" s="6" t="s">
        <v>76</v>
      </c>
      <c r="B40" s="6" t="s">
        <v>363</v>
      </c>
      <c r="C40" s="6" t="s">
        <v>368</v>
      </c>
      <c r="D40" s="6" t="s">
        <v>368</v>
      </c>
      <c r="E40" s="6" t="s">
        <v>366</v>
      </c>
      <c r="F40" s="21" t="n">
        <v>22729</v>
      </c>
      <c r="G40" s="6" t="s">
        <v>208</v>
      </c>
      <c r="H40" s="6"/>
      <c r="I40" s="6" t="s">
        <v>398</v>
      </c>
    </row>
    <row r="41" customFormat="false" ht="15" hidden="false" customHeight="false" outlineLevel="0" collapsed="false">
      <c r="A41" s="6" t="s">
        <v>76</v>
      </c>
      <c r="B41" s="6" t="s">
        <v>363</v>
      </c>
      <c r="C41" s="6" t="s">
        <v>370</v>
      </c>
      <c r="D41" s="6" t="s">
        <v>371</v>
      </c>
      <c r="E41" s="6" t="s">
        <v>366</v>
      </c>
      <c r="F41" s="21" t="n">
        <v>48302</v>
      </c>
      <c r="G41" s="6" t="s">
        <v>208</v>
      </c>
      <c r="H41" s="6"/>
      <c r="I41" s="6" t="s">
        <v>398</v>
      </c>
    </row>
    <row r="42" customFormat="false" ht="15" hidden="false" customHeight="false" outlineLevel="0" collapsed="false">
      <c r="A42" s="6" t="s">
        <v>76</v>
      </c>
      <c r="B42" s="6" t="s">
        <v>363</v>
      </c>
      <c r="C42" s="6" t="s">
        <v>373</v>
      </c>
      <c r="D42" s="6" t="s">
        <v>374</v>
      </c>
      <c r="E42" s="6" t="s">
        <v>366</v>
      </c>
      <c r="F42" s="21" t="n">
        <v>43628</v>
      </c>
      <c r="G42" s="6" t="s">
        <v>208</v>
      </c>
      <c r="H42" s="6"/>
      <c r="I42" s="6" t="s">
        <v>398</v>
      </c>
    </row>
    <row r="43" customFormat="false" ht="15" hidden="false" customHeight="false" outlineLevel="0" collapsed="false">
      <c r="A43" s="6" t="s">
        <v>76</v>
      </c>
      <c r="B43" s="6" t="s">
        <v>363</v>
      </c>
      <c r="C43" s="6" t="s">
        <v>376</v>
      </c>
      <c r="D43" s="6" t="s">
        <v>377</v>
      </c>
      <c r="E43" s="6" t="s">
        <v>366</v>
      </c>
      <c r="F43" s="21" t="n">
        <v>16332</v>
      </c>
      <c r="G43" s="6" t="s">
        <v>208</v>
      </c>
      <c r="H43" s="6"/>
      <c r="I43" s="6" t="s">
        <v>398</v>
      </c>
    </row>
    <row r="44" customFormat="false" ht="15" hidden="false" customHeight="false" outlineLevel="0" collapsed="false">
      <c r="A44" s="6" t="s">
        <v>76</v>
      </c>
      <c r="B44" s="6" t="s">
        <v>363</v>
      </c>
      <c r="C44" s="6" t="s">
        <v>379</v>
      </c>
      <c r="D44" s="6" t="s">
        <v>380</v>
      </c>
      <c r="E44" s="6" t="s">
        <v>366</v>
      </c>
      <c r="F44" s="21" t="n">
        <v>11998</v>
      </c>
      <c r="G44" s="6" t="s">
        <v>208</v>
      </c>
      <c r="H44" s="6"/>
      <c r="I44" s="6" t="s">
        <v>398</v>
      </c>
    </row>
    <row r="45" customFormat="false" ht="15" hidden="false" customHeight="false" outlineLevel="0" collapsed="false">
      <c r="A45" s="6" t="s">
        <v>76</v>
      </c>
      <c r="B45" s="6" t="s">
        <v>382</v>
      </c>
      <c r="C45" s="6" t="s">
        <v>383</v>
      </c>
      <c r="D45" s="6" t="s">
        <v>384</v>
      </c>
      <c r="E45" s="6" t="s">
        <v>366</v>
      </c>
      <c r="F45" s="21" t="n">
        <v>27336</v>
      </c>
      <c r="G45" s="6" t="s">
        <v>208</v>
      </c>
      <c r="H45" s="6"/>
      <c r="I45" s="6" t="s">
        <v>398</v>
      </c>
    </row>
    <row r="46" customFormat="false" ht="15" hidden="false" customHeight="false" outlineLevel="0" collapsed="false">
      <c r="A46" s="6" t="s">
        <v>76</v>
      </c>
      <c r="B46" s="6" t="s">
        <v>382</v>
      </c>
      <c r="C46" s="6" t="s">
        <v>386</v>
      </c>
      <c r="D46" s="6" t="s">
        <v>387</v>
      </c>
      <c r="E46" s="6" t="s">
        <v>366</v>
      </c>
      <c r="F46" s="21" t="n">
        <v>15047</v>
      </c>
      <c r="G46" s="6" t="s">
        <v>208</v>
      </c>
      <c r="H46" s="6"/>
      <c r="I46" s="6" t="s">
        <v>398</v>
      </c>
    </row>
    <row r="47" customFormat="false" ht="15" hidden="false" customHeight="false" outlineLevel="0" collapsed="false">
      <c r="A47" s="6" t="s">
        <v>76</v>
      </c>
      <c r="B47" s="6" t="s">
        <v>382</v>
      </c>
      <c r="C47" s="6" t="s">
        <v>389</v>
      </c>
      <c r="D47" s="6" t="s">
        <v>390</v>
      </c>
      <c r="E47" s="6" t="s">
        <v>366</v>
      </c>
      <c r="F47" s="21" t="n">
        <v>37288</v>
      </c>
      <c r="G47" s="6" t="s">
        <v>208</v>
      </c>
      <c r="H47" s="6"/>
      <c r="I47" s="6" t="s">
        <v>398</v>
      </c>
    </row>
    <row r="48" customFormat="false" ht="15" hidden="false" customHeight="false" outlineLevel="0" collapsed="false">
      <c r="A48" s="6" t="s">
        <v>76</v>
      </c>
      <c r="B48" s="6" t="s">
        <v>382</v>
      </c>
      <c r="C48" s="6" t="s">
        <v>392</v>
      </c>
      <c r="D48" s="6" t="s">
        <v>393</v>
      </c>
      <c r="E48" s="6" t="s">
        <v>366</v>
      </c>
      <c r="F48" s="21" t="n">
        <v>46983</v>
      </c>
      <c r="G48" s="6" t="s">
        <v>208</v>
      </c>
      <c r="H48" s="6"/>
      <c r="I48" s="6" t="s">
        <v>398</v>
      </c>
    </row>
    <row r="49" customFormat="false" ht="15" hidden="false" customHeight="false" outlineLevel="0" collapsed="false">
      <c r="A49" s="6" t="s">
        <v>76</v>
      </c>
      <c r="B49" s="6" t="s">
        <v>382</v>
      </c>
      <c r="C49" s="6" t="s">
        <v>395</v>
      </c>
      <c r="D49" s="6" t="s">
        <v>396</v>
      </c>
      <c r="E49" s="6" t="s">
        <v>366</v>
      </c>
      <c r="F49" s="21" t="n">
        <v>28119</v>
      </c>
      <c r="G49" s="6" t="s">
        <v>208</v>
      </c>
      <c r="H49" s="6"/>
      <c r="I49" s="6" t="s">
        <v>398</v>
      </c>
    </row>
    <row r="50" customFormat="false" ht="15" hidden="false" customHeight="false" outlineLevel="0" collapsed="false">
      <c r="A50" s="6" t="s">
        <v>77</v>
      </c>
      <c r="B50" s="6" t="s">
        <v>363</v>
      </c>
      <c r="C50" s="6" t="s">
        <v>364</v>
      </c>
      <c r="D50" s="6" t="s">
        <v>365</v>
      </c>
      <c r="E50" s="6" t="s">
        <v>366</v>
      </c>
      <c r="F50" s="21" t="n">
        <v>10496</v>
      </c>
      <c r="G50" s="6" t="s">
        <v>193</v>
      </c>
      <c r="H50" s="6" t="s">
        <v>214</v>
      </c>
      <c r="I50" s="6" t="s">
        <v>410</v>
      </c>
    </row>
    <row r="51" customFormat="false" ht="15" hidden="false" customHeight="false" outlineLevel="0" collapsed="false">
      <c r="A51" s="6" t="s">
        <v>77</v>
      </c>
      <c r="B51" s="6" t="s">
        <v>363</v>
      </c>
      <c r="C51" s="6" t="s">
        <v>368</v>
      </c>
      <c r="D51" s="6" t="s">
        <v>368</v>
      </c>
      <c r="E51" s="6" t="s">
        <v>366</v>
      </c>
      <c r="F51" s="21" t="n">
        <v>25608</v>
      </c>
      <c r="G51" s="6" t="s">
        <v>193</v>
      </c>
      <c r="H51" s="6" t="s">
        <v>214</v>
      </c>
      <c r="I51" s="6" t="s">
        <v>411</v>
      </c>
    </row>
    <row r="52" customFormat="false" ht="15" hidden="false" customHeight="false" outlineLevel="0" collapsed="false">
      <c r="A52" s="6" t="s">
        <v>77</v>
      </c>
      <c r="B52" s="6" t="s">
        <v>363</v>
      </c>
      <c r="C52" s="6" t="s">
        <v>370</v>
      </c>
      <c r="D52" s="6" t="s">
        <v>371</v>
      </c>
      <c r="E52" s="6" t="s">
        <v>366</v>
      </c>
      <c r="F52" s="21" t="n">
        <v>41873</v>
      </c>
      <c r="G52" s="6" t="s">
        <v>193</v>
      </c>
      <c r="H52" s="6" t="s">
        <v>214</v>
      </c>
      <c r="I52" s="6" t="s">
        <v>412</v>
      </c>
    </row>
    <row r="53" customFormat="false" ht="15" hidden="false" customHeight="false" outlineLevel="0" collapsed="false">
      <c r="A53" s="6" t="s">
        <v>77</v>
      </c>
      <c r="B53" s="6" t="s">
        <v>363</v>
      </c>
      <c r="C53" s="6" t="s">
        <v>373</v>
      </c>
      <c r="D53" s="6" t="s">
        <v>374</v>
      </c>
      <c r="E53" s="6" t="s">
        <v>366</v>
      </c>
      <c r="F53" s="21" t="n">
        <v>45137</v>
      </c>
      <c r="G53" s="6" t="s">
        <v>193</v>
      </c>
      <c r="H53" s="6" t="s">
        <v>214</v>
      </c>
      <c r="I53" s="6" t="s">
        <v>413</v>
      </c>
    </row>
    <row r="54" customFormat="false" ht="15" hidden="false" customHeight="false" outlineLevel="0" collapsed="false">
      <c r="A54" s="6" t="s">
        <v>77</v>
      </c>
      <c r="B54" s="6" t="s">
        <v>363</v>
      </c>
      <c r="C54" s="6" t="s">
        <v>414</v>
      </c>
      <c r="D54" s="6" t="s">
        <v>415</v>
      </c>
      <c r="E54" s="6" t="s">
        <v>416</v>
      </c>
      <c r="F54" s="21" t="n">
        <v>25884</v>
      </c>
      <c r="G54" s="6" t="s">
        <v>193</v>
      </c>
      <c r="H54" s="6" t="s">
        <v>214</v>
      </c>
      <c r="I54" s="6" t="s">
        <v>417</v>
      </c>
    </row>
    <row r="55" customFormat="false" ht="15" hidden="false" customHeight="false" outlineLevel="0" collapsed="false">
      <c r="A55" s="6" t="s">
        <v>77</v>
      </c>
      <c r="B55" s="6" t="s">
        <v>363</v>
      </c>
      <c r="C55" s="6" t="s">
        <v>418</v>
      </c>
      <c r="D55" s="6" t="s">
        <v>419</v>
      </c>
      <c r="E55" s="6" t="s">
        <v>416</v>
      </c>
      <c r="F55" s="21" t="n">
        <v>19253</v>
      </c>
      <c r="G55" s="6" t="s">
        <v>193</v>
      </c>
      <c r="H55" s="6" t="s">
        <v>214</v>
      </c>
      <c r="I55" s="6" t="s">
        <v>420</v>
      </c>
    </row>
    <row r="56" customFormat="false" ht="15" hidden="false" customHeight="false" outlineLevel="0" collapsed="false">
      <c r="A56" s="6" t="s">
        <v>77</v>
      </c>
      <c r="B56" s="6" t="s">
        <v>363</v>
      </c>
      <c r="C56" s="6" t="s">
        <v>376</v>
      </c>
      <c r="D56" s="6" t="s">
        <v>377</v>
      </c>
      <c r="E56" s="6" t="s">
        <v>366</v>
      </c>
      <c r="F56" s="21" t="n">
        <v>14975</v>
      </c>
      <c r="G56" s="6" t="s">
        <v>193</v>
      </c>
      <c r="H56" s="6" t="s">
        <v>214</v>
      </c>
      <c r="I56" s="6" t="s">
        <v>421</v>
      </c>
    </row>
    <row r="57" customFormat="false" ht="15" hidden="false" customHeight="false" outlineLevel="0" collapsed="false">
      <c r="A57" s="6" t="s">
        <v>77</v>
      </c>
      <c r="B57" s="6" t="s">
        <v>363</v>
      </c>
      <c r="C57" s="6" t="s">
        <v>379</v>
      </c>
      <c r="D57" s="6" t="s">
        <v>380</v>
      </c>
      <c r="E57" s="6" t="s">
        <v>366</v>
      </c>
      <c r="F57" s="21" t="n">
        <v>8302</v>
      </c>
      <c r="G57" s="6" t="s">
        <v>193</v>
      </c>
      <c r="H57" s="6" t="s">
        <v>214</v>
      </c>
      <c r="I57" s="6" t="s">
        <v>422</v>
      </c>
    </row>
    <row r="58" customFormat="false" ht="15" hidden="false" customHeight="false" outlineLevel="0" collapsed="false">
      <c r="A58" s="6" t="s">
        <v>77</v>
      </c>
      <c r="B58" s="6" t="s">
        <v>382</v>
      </c>
      <c r="C58" s="6" t="s">
        <v>383</v>
      </c>
      <c r="D58" s="6" t="s">
        <v>384</v>
      </c>
      <c r="E58" s="6" t="s">
        <v>366</v>
      </c>
      <c r="F58" s="21" t="n">
        <v>21302</v>
      </c>
      <c r="G58" s="6" t="s">
        <v>193</v>
      </c>
      <c r="H58" s="6" t="s">
        <v>214</v>
      </c>
      <c r="I58" s="6" t="s">
        <v>423</v>
      </c>
    </row>
    <row r="59" customFormat="false" ht="15" hidden="false" customHeight="false" outlineLevel="0" collapsed="false">
      <c r="A59" s="6" t="s">
        <v>77</v>
      </c>
      <c r="B59" s="6" t="s">
        <v>382</v>
      </c>
      <c r="C59" s="6" t="s">
        <v>386</v>
      </c>
      <c r="D59" s="6" t="s">
        <v>387</v>
      </c>
      <c r="E59" s="6" t="s">
        <v>366</v>
      </c>
      <c r="F59" s="21" t="n">
        <v>15973</v>
      </c>
      <c r="G59" s="6" t="s">
        <v>193</v>
      </c>
      <c r="H59" s="6" t="s">
        <v>214</v>
      </c>
      <c r="I59" s="6" t="s">
        <v>424</v>
      </c>
    </row>
    <row r="60" customFormat="false" ht="15" hidden="false" customHeight="false" outlineLevel="0" collapsed="false">
      <c r="A60" s="6" t="s">
        <v>77</v>
      </c>
      <c r="B60" s="6" t="s">
        <v>382</v>
      </c>
      <c r="C60" s="6" t="s">
        <v>389</v>
      </c>
      <c r="D60" s="6" t="s">
        <v>390</v>
      </c>
      <c r="E60" s="6" t="s">
        <v>366</v>
      </c>
      <c r="F60" s="21" t="n">
        <v>35381</v>
      </c>
      <c r="G60" s="6" t="s">
        <v>193</v>
      </c>
      <c r="H60" s="6" t="s">
        <v>214</v>
      </c>
      <c r="I60" s="6" t="s">
        <v>425</v>
      </c>
    </row>
    <row r="61" customFormat="false" ht="15" hidden="false" customHeight="false" outlineLevel="0" collapsed="false">
      <c r="A61" s="6" t="s">
        <v>77</v>
      </c>
      <c r="B61" s="6" t="s">
        <v>382</v>
      </c>
      <c r="C61" s="6" t="s">
        <v>392</v>
      </c>
      <c r="D61" s="6" t="s">
        <v>393</v>
      </c>
      <c r="E61" s="6" t="s">
        <v>366</v>
      </c>
      <c r="F61" s="21" t="n">
        <v>43577</v>
      </c>
      <c r="G61" s="6" t="s">
        <v>193</v>
      </c>
      <c r="H61" s="6" t="s">
        <v>214</v>
      </c>
      <c r="I61" s="6" t="s">
        <v>426</v>
      </c>
    </row>
    <row r="62" customFormat="false" ht="15" hidden="false" customHeight="false" outlineLevel="0" collapsed="false">
      <c r="A62" s="6" t="s">
        <v>77</v>
      </c>
      <c r="B62" s="6" t="s">
        <v>382</v>
      </c>
      <c r="C62" s="6" t="s">
        <v>395</v>
      </c>
      <c r="D62" s="6" t="s">
        <v>396</v>
      </c>
      <c r="E62" s="6" t="s">
        <v>366</v>
      </c>
      <c r="F62" s="21" t="n">
        <v>30158</v>
      </c>
      <c r="G62" s="6" t="s">
        <v>193</v>
      </c>
      <c r="H62" s="6" t="s">
        <v>214</v>
      </c>
      <c r="I62" s="6" t="s">
        <v>427</v>
      </c>
    </row>
    <row r="63" customFormat="false" ht="15" hidden="false" customHeight="false" outlineLevel="0" collapsed="false">
      <c r="A63" s="6" t="s">
        <v>78</v>
      </c>
      <c r="B63" s="6" t="s">
        <v>363</v>
      </c>
      <c r="C63" s="6" t="s">
        <v>364</v>
      </c>
      <c r="D63" s="6" t="s">
        <v>365</v>
      </c>
      <c r="E63" s="6" t="s">
        <v>366</v>
      </c>
      <c r="F63" s="21" t="n">
        <v>8116</v>
      </c>
      <c r="G63" s="6" t="s">
        <v>208</v>
      </c>
      <c r="H63" s="6"/>
      <c r="I63" s="6" t="s">
        <v>398</v>
      </c>
    </row>
    <row r="64" customFormat="false" ht="15" hidden="false" customHeight="false" outlineLevel="0" collapsed="false">
      <c r="A64" s="6" t="s">
        <v>78</v>
      </c>
      <c r="B64" s="6" t="s">
        <v>363</v>
      </c>
      <c r="C64" s="6" t="s">
        <v>368</v>
      </c>
      <c r="D64" s="6" t="s">
        <v>368</v>
      </c>
      <c r="E64" s="6" t="s">
        <v>366</v>
      </c>
      <c r="F64" s="21" t="n">
        <v>25975</v>
      </c>
      <c r="G64" s="6" t="s">
        <v>208</v>
      </c>
      <c r="H64" s="6"/>
      <c r="I64" s="6" t="s">
        <v>398</v>
      </c>
    </row>
    <row r="65" customFormat="false" ht="15" hidden="false" customHeight="false" outlineLevel="0" collapsed="false">
      <c r="A65" s="6" t="s">
        <v>78</v>
      </c>
      <c r="B65" s="6" t="s">
        <v>363</v>
      </c>
      <c r="C65" s="6" t="s">
        <v>370</v>
      </c>
      <c r="D65" s="6" t="s">
        <v>371</v>
      </c>
      <c r="E65" s="6" t="s">
        <v>366</v>
      </c>
      <c r="F65" s="21" t="n">
        <v>39013</v>
      </c>
      <c r="G65" s="6" t="s">
        <v>208</v>
      </c>
      <c r="H65" s="6"/>
      <c r="I65" s="6" t="s">
        <v>398</v>
      </c>
    </row>
    <row r="66" customFormat="false" ht="15" hidden="false" customHeight="false" outlineLevel="0" collapsed="false">
      <c r="A66" s="6" t="s">
        <v>78</v>
      </c>
      <c r="B66" s="6" t="s">
        <v>363</v>
      </c>
      <c r="C66" s="6" t="s">
        <v>373</v>
      </c>
      <c r="D66" s="6" t="s">
        <v>374</v>
      </c>
      <c r="E66" s="6" t="s">
        <v>366</v>
      </c>
      <c r="F66" s="21" t="n">
        <v>39191</v>
      </c>
      <c r="G66" s="6" t="s">
        <v>208</v>
      </c>
      <c r="H66" s="6"/>
      <c r="I66" s="6" t="s">
        <v>398</v>
      </c>
    </row>
    <row r="67" customFormat="false" ht="15" hidden="false" customHeight="false" outlineLevel="0" collapsed="false">
      <c r="A67" s="6" t="s">
        <v>78</v>
      </c>
      <c r="B67" s="6" t="s">
        <v>363</v>
      </c>
      <c r="C67" s="6" t="s">
        <v>414</v>
      </c>
      <c r="D67" s="6" t="s">
        <v>415</v>
      </c>
      <c r="E67" s="6" t="s">
        <v>416</v>
      </c>
      <c r="F67" s="21" t="n">
        <v>19483</v>
      </c>
      <c r="G67" s="6" t="s">
        <v>208</v>
      </c>
      <c r="H67" s="6"/>
      <c r="I67" s="6" t="s">
        <v>398</v>
      </c>
    </row>
    <row r="68" customFormat="false" ht="15" hidden="false" customHeight="false" outlineLevel="0" collapsed="false">
      <c r="A68" s="6" t="s">
        <v>78</v>
      </c>
      <c r="B68" s="6" t="s">
        <v>363</v>
      </c>
      <c r="C68" s="6" t="s">
        <v>418</v>
      </c>
      <c r="D68" s="6" t="s">
        <v>419</v>
      </c>
      <c r="E68" s="6" t="s">
        <v>416</v>
      </c>
      <c r="F68" s="21" t="n">
        <v>19708</v>
      </c>
      <c r="G68" s="6" t="s">
        <v>208</v>
      </c>
      <c r="H68" s="6"/>
      <c r="I68" s="6" t="s">
        <v>398</v>
      </c>
    </row>
    <row r="69" customFormat="false" ht="15" hidden="false" customHeight="false" outlineLevel="0" collapsed="false">
      <c r="A69" s="6" t="s">
        <v>78</v>
      </c>
      <c r="B69" s="6" t="s">
        <v>363</v>
      </c>
      <c r="C69" s="6" t="s">
        <v>376</v>
      </c>
      <c r="D69" s="6" t="s">
        <v>377</v>
      </c>
      <c r="E69" s="6" t="s">
        <v>366</v>
      </c>
      <c r="F69" s="21" t="n">
        <v>12726</v>
      </c>
      <c r="G69" s="6" t="s">
        <v>208</v>
      </c>
      <c r="H69" s="6"/>
      <c r="I69" s="6" t="s">
        <v>398</v>
      </c>
    </row>
    <row r="70" customFormat="false" ht="15" hidden="false" customHeight="false" outlineLevel="0" collapsed="false">
      <c r="A70" s="6" t="s">
        <v>78</v>
      </c>
      <c r="B70" s="6" t="s">
        <v>363</v>
      </c>
      <c r="C70" s="6" t="s">
        <v>379</v>
      </c>
      <c r="D70" s="6" t="s">
        <v>380</v>
      </c>
      <c r="E70" s="6" t="s">
        <v>366</v>
      </c>
      <c r="F70" s="21" t="n">
        <v>8037</v>
      </c>
      <c r="G70" s="6" t="s">
        <v>208</v>
      </c>
      <c r="H70" s="6"/>
      <c r="I70" s="6" t="s">
        <v>398</v>
      </c>
    </row>
    <row r="71" customFormat="false" ht="15" hidden="false" customHeight="false" outlineLevel="0" collapsed="false">
      <c r="A71" s="6" t="s">
        <v>78</v>
      </c>
      <c r="B71" s="6" t="s">
        <v>382</v>
      </c>
      <c r="C71" s="6" t="s">
        <v>383</v>
      </c>
      <c r="D71" s="6" t="s">
        <v>384</v>
      </c>
      <c r="E71" s="6" t="s">
        <v>366</v>
      </c>
      <c r="F71" s="21" t="n">
        <v>20636</v>
      </c>
      <c r="G71" s="6" t="s">
        <v>208</v>
      </c>
      <c r="H71" s="6"/>
      <c r="I71" s="6" t="s">
        <v>398</v>
      </c>
    </row>
    <row r="72" customFormat="false" ht="15" hidden="false" customHeight="false" outlineLevel="0" collapsed="false">
      <c r="A72" s="6" t="s">
        <v>78</v>
      </c>
      <c r="B72" s="6" t="s">
        <v>382</v>
      </c>
      <c r="C72" s="6" t="s">
        <v>386</v>
      </c>
      <c r="D72" s="6" t="s">
        <v>387</v>
      </c>
      <c r="E72" s="6" t="s">
        <v>366</v>
      </c>
      <c r="F72" s="21" t="n">
        <v>13995</v>
      </c>
      <c r="G72" s="6" t="s">
        <v>208</v>
      </c>
      <c r="H72" s="6"/>
      <c r="I72" s="6" t="s">
        <v>398</v>
      </c>
    </row>
    <row r="73" customFormat="false" ht="15" hidden="false" customHeight="false" outlineLevel="0" collapsed="false">
      <c r="A73" s="6" t="s">
        <v>78</v>
      </c>
      <c r="B73" s="6" t="s">
        <v>382</v>
      </c>
      <c r="C73" s="6" t="s">
        <v>389</v>
      </c>
      <c r="D73" s="6" t="s">
        <v>390</v>
      </c>
      <c r="E73" s="6" t="s">
        <v>366</v>
      </c>
      <c r="F73" s="21" t="n">
        <v>30959</v>
      </c>
      <c r="G73" s="6" t="s">
        <v>208</v>
      </c>
      <c r="H73" s="6"/>
      <c r="I73" s="6" t="s">
        <v>398</v>
      </c>
    </row>
    <row r="74" customFormat="false" ht="15" hidden="false" customHeight="false" outlineLevel="0" collapsed="false">
      <c r="A74" s="6" t="s">
        <v>78</v>
      </c>
      <c r="B74" s="6" t="s">
        <v>382</v>
      </c>
      <c r="C74" s="6" t="s">
        <v>392</v>
      </c>
      <c r="D74" s="6" t="s">
        <v>393</v>
      </c>
      <c r="E74" s="6" t="s">
        <v>366</v>
      </c>
      <c r="F74" s="21" t="n">
        <v>42652</v>
      </c>
      <c r="G74" s="6" t="s">
        <v>208</v>
      </c>
      <c r="H74" s="6"/>
      <c r="I74" s="6" t="s">
        <v>398</v>
      </c>
    </row>
    <row r="75" customFormat="false" ht="15" hidden="false" customHeight="false" outlineLevel="0" collapsed="false">
      <c r="A75" s="6" t="s">
        <v>78</v>
      </c>
      <c r="B75" s="6" t="s">
        <v>382</v>
      </c>
      <c r="C75" s="6" t="s">
        <v>395</v>
      </c>
      <c r="D75" s="6" t="s">
        <v>396</v>
      </c>
      <c r="E75" s="6" t="s">
        <v>366</v>
      </c>
      <c r="F75" s="21" t="n">
        <v>24816</v>
      </c>
      <c r="G75" s="6" t="s">
        <v>208</v>
      </c>
      <c r="H75" s="6"/>
      <c r="I75" s="6" t="s">
        <v>398</v>
      </c>
    </row>
    <row r="76" customFormat="false" ht="15" hidden="false" customHeight="false" outlineLevel="0" collapsed="false">
      <c r="A76" s="6" t="s">
        <v>79</v>
      </c>
      <c r="B76" s="6" t="s">
        <v>363</v>
      </c>
      <c r="C76" s="6" t="s">
        <v>364</v>
      </c>
      <c r="D76" s="6" t="s">
        <v>365</v>
      </c>
      <c r="E76" s="6" t="s">
        <v>366</v>
      </c>
      <c r="F76" s="21" t="n">
        <v>2789</v>
      </c>
      <c r="G76" s="6" t="s">
        <v>193</v>
      </c>
      <c r="H76" s="6" t="s">
        <v>214</v>
      </c>
      <c r="I76" s="6" t="s">
        <v>428</v>
      </c>
    </row>
    <row r="77" customFormat="false" ht="15" hidden="false" customHeight="false" outlineLevel="0" collapsed="false">
      <c r="A77" s="6" t="s">
        <v>79</v>
      </c>
      <c r="B77" s="6" t="s">
        <v>363</v>
      </c>
      <c r="C77" s="6" t="s">
        <v>368</v>
      </c>
      <c r="D77" s="6" t="s">
        <v>368</v>
      </c>
      <c r="E77" s="6" t="s">
        <v>366</v>
      </c>
      <c r="F77" s="21" t="n">
        <v>30534</v>
      </c>
      <c r="G77" s="6" t="s">
        <v>193</v>
      </c>
      <c r="H77" s="6" t="s">
        <v>214</v>
      </c>
      <c r="I77" s="6" t="s">
        <v>429</v>
      </c>
    </row>
    <row r="78" customFormat="false" ht="15" hidden="false" customHeight="false" outlineLevel="0" collapsed="false">
      <c r="A78" s="6" t="s">
        <v>79</v>
      </c>
      <c r="B78" s="6" t="s">
        <v>363</v>
      </c>
      <c r="C78" s="6" t="s">
        <v>370</v>
      </c>
      <c r="D78" s="6" t="s">
        <v>371</v>
      </c>
      <c r="E78" s="6" t="s">
        <v>366</v>
      </c>
      <c r="F78" s="21" t="n">
        <v>38141</v>
      </c>
      <c r="G78" s="6" t="s">
        <v>193</v>
      </c>
      <c r="H78" s="6" t="s">
        <v>214</v>
      </c>
      <c r="I78" s="6" t="s">
        <v>430</v>
      </c>
    </row>
    <row r="79" customFormat="false" ht="15" hidden="false" customHeight="false" outlineLevel="0" collapsed="false">
      <c r="A79" s="6" t="s">
        <v>79</v>
      </c>
      <c r="B79" s="6" t="s">
        <v>363</v>
      </c>
      <c r="C79" s="6" t="s">
        <v>373</v>
      </c>
      <c r="D79" s="6" t="s">
        <v>374</v>
      </c>
      <c r="E79" s="6" t="s">
        <v>366</v>
      </c>
      <c r="F79" s="21" t="n">
        <v>35315</v>
      </c>
      <c r="G79" s="6" t="s">
        <v>193</v>
      </c>
      <c r="H79" s="6" t="s">
        <v>214</v>
      </c>
      <c r="I79" s="6" t="s">
        <v>431</v>
      </c>
    </row>
    <row r="80" customFormat="false" ht="15" hidden="false" customHeight="false" outlineLevel="0" collapsed="false">
      <c r="A80" s="6" t="s">
        <v>79</v>
      </c>
      <c r="B80" s="6" t="s">
        <v>363</v>
      </c>
      <c r="C80" s="6" t="s">
        <v>414</v>
      </c>
      <c r="D80" s="6" t="s">
        <v>415</v>
      </c>
      <c r="E80" s="6" t="s">
        <v>416</v>
      </c>
      <c r="F80" s="21" t="n">
        <v>15620</v>
      </c>
      <c r="G80" s="6" t="s">
        <v>193</v>
      </c>
      <c r="H80" s="6" t="s">
        <v>214</v>
      </c>
      <c r="I80" s="6" t="s">
        <v>432</v>
      </c>
    </row>
    <row r="81" customFormat="false" ht="15" hidden="false" customHeight="false" outlineLevel="0" collapsed="false">
      <c r="A81" s="6" t="s">
        <v>79</v>
      </c>
      <c r="B81" s="6" t="s">
        <v>363</v>
      </c>
      <c r="C81" s="6" t="s">
        <v>418</v>
      </c>
      <c r="D81" s="6" t="s">
        <v>419</v>
      </c>
      <c r="E81" s="6" t="s">
        <v>416</v>
      </c>
      <c r="F81" s="21" t="n">
        <v>19695</v>
      </c>
      <c r="G81" s="6" t="s">
        <v>193</v>
      </c>
      <c r="H81" s="6" t="s">
        <v>214</v>
      </c>
      <c r="I81" s="6" t="s">
        <v>433</v>
      </c>
    </row>
    <row r="82" customFormat="false" ht="15" hidden="false" customHeight="false" outlineLevel="0" collapsed="false">
      <c r="A82" s="6" t="s">
        <v>79</v>
      </c>
      <c r="B82" s="6" t="s">
        <v>363</v>
      </c>
      <c r="C82" s="6" t="s">
        <v>376</v>
      </c>
      <c r="D82" s="6" t="s">
        <v>377</v>
      </c>
      <c r="E82" s="6" t="s">
        <v>366</v>
      </c>
      <c r="F82" s="21" t="n">
        <v>9308</v>
      </c>
      <c r="G82" s="6" t="s">
        <v>193</v>
      </c>
      <c r="H82" s="6" t="s">
        <v>214</v>
      </c>
      <c r="I82" s="6" t="s">
        <v>434</v>
      </c>
    </row>
    <row r="83" customFormat="false" ht="15" hidden="false" customHeight="false" outlineLevel="0" collapsed="false">
      <c r="A83" s="6" t="s">
        <v>79</v>
      </c>
      <c r="B83" s="6" t="s">
        <v>363</v>
      </c>
      <c r="C83" s="6" t="s">
        <v>379</v>
      </c>
      <c r="D83" s="6" t="s">
        <v>380</v>
      </c>
      <c r="E83" s="6" t="s">
        <v>366</v>
      </c>
      <c r="F83" s="21" t="n">
        <v>6219</v>
      </c>
      <c r="G83" s="6" t="s">
        <v>193</v>
      </c>
      <c r="H83" s="6" t="s">
        <v>214</v>
      </c>
      <c r="I83" s="6" t="s">
        <v>435</v>
      </c>
    </row>
    <row r="84" customFormat="false" ht="15" hidden="false" customHeight="false" outlineLevel="0" collapsed="false">
      <c r="A84" s="6" t="s">
        <v>79</v>
      </c>
      <c r="B84" s="6" t="s">
        <v>382</v>
      </c>
      <c r="C84" s="6" t="s">
        <v>383</v>
      </c>
      <c r="D84" s="6" t="s">
        <v>384</v>
      </c>
      <c r="E84" s="6" t="s">
        <v>366</v>
      </c>
      <c r="F84" s="21" t="n">
        <v>14501</v>
      </c>
      <c r="G84" s="6" t="s">
        <v>193</v>
      </c>
      <c r="H84" s="6" t="s">
        <v>214</v>
      </c>
      <c r="I84" s="6" t="s">
        <v>436</v>
      </c>
    </row>
    <row r="85" customFormat="false" ht="15" hidden="false" customHeight="false" outlineLevel="0" collapsed="false">
      <c r="A85" s="6" t="s">
        <v>79</v>
      </c>
      <c r="B85" s="6" t="s">
        <v>382</v>
      </c>
      <c r="C85" s="6" t="s">
        <v>386</v>
      </c>
      <c r="D85" s="6" t="s">
        <v>387</v>
      </c>
      <c r="E85" s="6" t="s">
        <v>366</v>
      </c>
      <c r="F85" s="21" t="n">
        <v>14938</v>
      </c>
      <c r="G85" s="6" t="s">
        <v>193</v>
      </c>
      <c r="H85" s="6" t="s">
        <v>214</v>
      </c>
      <c r="I85" s="6" t="s">
        <v>437</v>
      </c>
    </row>
    <row r="86" customFormat="false" ht="15" hidden="false" customHeight="false" outlineLevel="0" collapsed="false">
      <c r="A86" s="6" t="s">
        <v>79</v>
      </c>
      <c r="B86" s="6" t="s">
        <v>382</v>
      </c>
      <c r="C86" s="6" t="s">
        <v>389</v>
      </c>
      <c r="D86" s="6" t="s">
        <v>390</v>
      </c>
      <c r="E86" s="6" t="s">
        <v>366</v>
      </c>
      <c r="F86" s="21" t="n">
        <v>30278</v>
      </c>
      <c r="G86" s="6" t="s">
        <v>193</v>
      </c>
      <c r="H86" s="6" t="s">
        <v>214</v>
      </c>
      <c r="I86" s="6" t="s">
        <v>438</v>
      </c>
    </row>
    <row r="87" customFormat="false" ht="15" hidden="false" customHeight="false" outlineLevel="0" collapsed="false">
      <c r="A87" s="6" t="s">
        <v>79</v>
      </c>
      <c r="B87" s="6" t="s">
        <v>382</v>
      </c>
      <c r="C87" s="6" t="s">
        <v>392</v>
      </c>
      <c r="D87" s="6" t="s">
        <v>393</v>
      </c>
      <c r="E87" s="6" t="s">
        <v>366</v>
      </c>
      <c r="F87" s="21" t="n">
        <v>37712</v>
      </c>
      <c r="G87" s="6" t="s">
        <v>193</v>
      </c>
      <c r="H87" s="6" t="s">
        <v>214</v>
      </c>
      <c r="I87" s="6" t="s">
        <v>439</v>
      </c>
    </row>
    <row r="88" customFormat="false" ht="15" hidden="false" customHeight="false" outlineLevel="0" collapsed="false">
      <c r="A88" s="6" t="s">
        <v>79</v>
      </c>
      <c r="B88" s="6" t="s">
        <v>382</v>
      </c>
      <c r="C88" s="6" t="s">
        <v>395</v>
      </c>
      <c r="D88" s="6" t="s">
        <v>396</v>
      </c>
      <c r="E88" s="6" t="s">
        <v>366</v>
      </c>
      <c r="F88" s="21" t="n">
        <v>24877</v>
      </c>
      <c r="G88" s="6" t="s">
        <v>193</v>
      </c>
      <c r="H88" s="6" t="s">
        <v>214</v>
      </c>
      <c r="I88" s="6" t="s">
        <v>440</v>
      </c>
    </row>
  </sheetData>
  <autoFilter ref="A5:I88"/>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5A5A5"/>
    <pageSetUpPr fitToPage="true"/>
  </sheetPr>
  <dimension ref="A1:K85"/>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52"/>
    <col collapsed="false" customWidth="true" hidden="false" outlineLevel="0" max="3" min="3" style="0" width="10"/>
    <col collapsed="false" customWidth="true" hidden="false" outlineLevel="0" max="10" min="4" style="0" width="12"/>
    <col collapsed="false" customWidth="true" hidden="false" outlineLevel="0" max="11" min="11" style="0" width="50"/>
  </cols>
  <sheetData>
    <row r="1" customFormat="false" ht="17.35" hidden="false" customHeight="false" outlineLevel="0" collapsed="false">
      <c r="A1" s="1" t="s">
        <v>441</v>
      </c>
    </row>
    <row r="2" customFormat="false" ht="15" hidden="false" customHeight="false" outlineLevel="0" collapsed="false">
      <c r="A2" s="2" t="s">
        <v>442</v>
      </c>
    </row>
    <row r="5" customFormat="false" ht="15" hidden="false" customHeight="false" outlineLevel="0" collapsed="false">
      <c r="A5" s="13"/>
      <c r="B5" s="13" t="s">
        <v>443</v>
      </c>
      <c r="C5" s="13" t="s">
        <v>72</v>
      </c>
      <c r="D5" s="13" t="s">
        <v>73</v>
      </c>
      <c r="E5" s="13" t="s">
        <v>74</v>
      </c>
      <c r="F5" s="13" t="s">
        <v>75</v>
      </c>
      <c r="G5" s="13" t="s">
        <v>76</v>
      </c>
      <c r="H5" s="13" t="s">
        <v>77</v>
      </c>
      <c r="I5" s="13" t="s">
        <v>78</v>
      </c>
      <c r="J5" s="13" t="s">
        <v>79</v>
      </c>
      <c r="K5" s="13" t="s">
        <v>444</v>
      </c>
    </row>
    <row r="6" customFormat="false" ht="15" hidden="false" customHeight="false" outlineLevel="0" collapsed="false">
      <c r="B6" s="6" t="s">
        <v>445</v>
      </c>
      <c r="C6" s="6" t="s">
        <v>83</v>
      </c>
      <c r="D6" s="22" t="n">
        <v>3852.235213</v>
      </c>
      <c r="E6" s="22" t="n">
        <v>3432.07241</v>
      </c>
      <c r="F6" s="22" t="n">
        <v>3061.455452</v>
      </c>
      <c r="G6" s="22" t="n">
        <v>2575.43719</v>
      </c>
      <c r="H6" s="22" t="n">
        <v>1006.791297</v>
      </c>
      <c r="I6" s="22" t="n">
        <v>-593.507328</v>
      </c>
      <c r="J6" s="22" t="n">
        <v>1348.185049</v>
      </c>
      <c r="K6" s="2" t="s">
        <v>446</v>
      </c>
    </row>
    <row r="7" customFormat="false" ht="15" hidden="false" customHeight="false" outlineLevel="0" collapsed="false">
      <c r="B7" s="6" t="s">
        <v>447</v>
      </c>
      <c r="C7" s="6" t="s">
        <v>83</v>
      </c>
      <c r="D7" s="22" t="n">
        <v>3852.235213</v>
      </c>
      <c r="E7" s="22" t="n">
        <v>3432.07241</v>
      </c>
      <c r="F7" s="22" t="n">
        <v>3061.455452</v>
      </c>
      <c r="G7" s="22" t="n">
        <v>2575.43719</v>
      </c>
      <c r="H7" s="22" t="n">
        <v>1706.791297</v>
      </c>
      <c r="I7" s="22" t="n">
        <v>1806.492672</v>
      </c>
      <c r="J7" s="22" t="n">
        <v>1448.185049</v>
      </c>
      <c r="K7" s="2" t="s">
        <v>446</v>
      </c>
    </row>
    <row r="8" customFormat="false" ht="15" hidden="false" customHeight="false" outlineLevel="0" collapsed="false">
      <c r="B8" s="6" t="s">
        <v>448</v>
      </c>
      <c r="C8" s="6" t="s">
        <v>83</v>
      </c>
      <c r="D8" s="22" t="n">
        <v>3852.235213</v>
      </c>
      <c r="E8" s="22" t="n">
        <v>3432.07241</v>
      </c>
      <c r="F8" s="22" t="n">
        <v>3061.455452</v>
      </c>
      <c r="G8" s="22" t="n">
        <v>2575.43719</v>
      </c>
      <c r="H8" s="22" t="n">
        <v>2106.791297</v>
      </c>
      <c r="I8" s="22" t="n">
        <v>2106.492672</v>
      </c>
      <c r="J8" s="22" t="n">
        <v>1848.185049</v>
      </c>
      <c r="K8" s="2" t="s">
        <v>446</v>
      </c>
    </row>
    <row r="9" customFormat="false" ht="15" hidden="false" customHeight="false" outlineLevel="0" collapsed="false">
      <c r="B9" s="6" t="s">
        <v>449</v>
      </c>
      <c r="C9" s="6" t="s">
        <v>83</v>
      </c>
      <c r="D9" s="22" t="n">
        <v>3827.235213</v>
      </c>
      <c r="E9" s="22" t="n">
        <v>4030.07241</v>
      </c>
      <c r="F9" s="22" t="n">
        <v>3302.455452</v>
      </c>
      <c r="G9" s="22" t="n">
        <v>3733.43719</v>
      </c>
      <c r="H9" s="22" t="n">
        <v>2592.791297</v>
      </c>
      <c r="I9" s="22" t="n">
        <v>2954.492672</v>
      </c>
      <c r="J9" s="22" t="n">
        <v>2459.185049</v>
      </c>
      <c r="K9" s="2" t="s">
        <v>446</v>
      </c>
    </row>
    <row r="10" customFormat="false" ht="15" hidden="false" customHeight="false" outlineLevel="0" collapsed="false">
      <c r="B10" s="6" t="s">
        <v>450</v>
      </c>
      <c r="C10" s="6" t="s">
        <v>451</v>
      </c>
      <c r="D10" s="22" t="n">
        <v>18.85</v>
      </c>
      <c r="E10" s="22" t="n">
        <v>17.08</v>
      </c>
      <c r="F10" s="22" t="n">
        <v>15.73</v>
      </c>
      <c r="G10" s="22" t="n">
        <v>12.49</v>
      </c>
      <c r="H10" s="22" t="n">
        <v>5.54</v>
      </c>
      <c r="I10" s="22" t="n">
        <v>-3.28</v>
      </c>
      <c r="J10" s="22" t="n">
        <v>7.82</v>
      </c>
      <c r="K10" s="2" t="s">
        <v>446</v>
      </c>
    </row>
    <row r="11" customFormat="false" ht="15" hidden="false" customHeight="false" outlineLevel="0" collapsed="false">
      <c r="B11" s="6" t="s">
        <v>452</v>
      </c>
      <c r="C11" s="6" t="s">
        <v>451</v>
      </c>
      <c r="D11" s="22" t="n">
        <v>18.85</v>
      </c>
      <c r="E11" s="22" t="n">
        <v>17.08</v>
      </c>
      <c r="F11" s="22" t="n">
        <v>15.73</v>
      </c>
      <c r="G11" s="22" t="n">
        <v>12.49</v>
      </c>
      <c r="H11" s="22" t="n">
        <v>9.4</v>
      </c>
      <c r="I11" s="22" t="n">
        <v>9.97</v>
      </c>
      <c r="J11" s="22" t="n">
        <v>8.41</v>
      </c>
      <c r="K11" s="2" t="s">
        <v>446</v>
      </c>
    </row>
    <row r="12" customFormat="false" ht="15" hidden="false" customHeight="false" outlineLevel="0" collapsed="false">
      <c r="B12" s="6" t="s">
        <v>453</v>
      </c>
      <c r="C12" s="6" t="s">
        <v>451</v>
      </c>
      <c r="D12" s="22" t="n">
        <v>18.85</v>
      </c>
      <c r="E12" s="22" t="n">
        <v>17.08</v>
      </c>
      <c r="F12" s="22" t="n">
        <v>15.73</v>
      </c>
      <c r="G12" s="22" t="n">
        <v>12.49</v>
      </c>
      <c r="H12" s="22" t="n">
        <v>11.6</v>
      </c>
      <c r="I12" s="22" t="n">
        <v>11.63</v>
      </c>
      <c r="J12" s="22" t="n">
        <v>10.73</v>
      </c>
      <c r="K12" s="2" t="s">
        <v>446</v>
      </c>
    </row>
    <row r="13" customFormat="false" ht="15" hidden="false" customHeight="false" outlineLevel="0" collapsed="false">
      <c r="B13" s="6" t="s">
        <v>454</v>
      </c>
      <c r="C13" s="6" t="s">
        <v>451</v>
      </c>
      <c r="D13" s="22" t="n">
        <v>18.73</v>
      </c>
      <c r="E13" s="22" t="n">
        <v>20.05</v>
      </c>
      <c r="F13" s="22" t="n">
        <v>16.97</v>
      </c>
      <c r="G13" s="22" t="n">
        <v>18.1</v>
      </c>
      <c r="H13" s="22" t="n">
        <v>14.28</v>
      </c>
      <c r="I13" s="22" t="n">
        <v>16.31</v>
      </c>
      <c r="J13" s="22" t="n">
        <v>14.27</v>
      </c>
      <c r="K13" s="2" t="s">
        <v>446</v>
      </c>
    </row>
    <row r="14" customFormat="false" ht="15" hidden="false" customHeight="false" outlineLevel="0" collapsed="false">
      <c r="B14" s="6" t="s">
        <v>455</v>
      </c>
      <c r="C14" s="6" t="s">
        <v>83</v>
      </c>
      <c r="D14" s="22" t="n">
        <v>1176</v>
      </c>
      <c r="E14" s="22" t="n">
        <v>1478</v>
      </c>
      <c r="F14" s="22" t="n">
        <v>1364</v>
      </c>
      <c r="G14" s="22" t="n">
        <v>1618</v>
      </c>
      <c r="H14" s="22" t="n">
        <v>1461</v>
      </c>
      <c r="I14" s="22" t="n">
        <v>1536</v>
      </c>
      <c r="J14" s="22" t="n">
        <v>1498</v>
      </c>
      <c r="K14" s="2" t="s">
        <v>456</v>
      </c>
    </row>
    <row r="15" customFormat="false" ht="15" hidden="false" customHeight="false" outlineLevel="0" collapsed="false">
      <c r="B15" s="6" t="s">
        <v>457</v>
      </c>
      <c r="C15" s="6" t="s">
        <v>83</v>
      </c>
      <c r="D15" s="22" t="n">
        <v>770</v>
      </c>
      <c r="E15" s="22" t="n">
        <v>943</v>
      </c>
      <c r="F15" s="22" t="n">
        <v>1057</v>
      </c>
      <c r="G15" s="22" t="n">
        <v>989</v>
      </c>
      <c r="H15" s="22" t="n">
        <v>1290</v>
      </c>
      <c r="I15" s="22" t="n">
        <v>1869</v>
      </c>
      <c r="J15" s="22" t="n">
        <v>1334</v>
      </c>
      <c r="K15" s="2" t="s">
        <v>458</v>
      </c>
    </row>
    <row r="16" customFormat="false" ht="15" hidden="false" customHeight="false" outlineLevel="0" collapsed="false">
      <c r="B16" s="6" t="s">
        <v>459</v>
      </c>
      <c r="C16" s="6" t="s">
        <v>83</v>
      </c>
      <c r="F16" s="22" t="n">
        <v>170.3</v>
      </c>
      <c r="G16" s="22" t="n">
        <v>130.2</v>
      </c>
      <c r="H16" s="22" t="n">
        <v>278.5</v>
      </c>
      <c r="I16" s="22" t="n">
        <v>158.9</v>
      </c>
      <c r="J16" s="22" t="n">
        <v>20.7</v>
      </c>
      <c r="K16" s="2" t="s">
        <v>458</v>
      </c>
    </row>
    <row r="17" customFormat="false" ht="15" hidden="false" customHeight="false" outlineLevel="0" collapsed="false">
      <c r="B17" s="6" t="s">
        <v>460</v>
      </c>
      <c r="C17" s="6" t="s">
        <v>172</v>
      </c>
      <c r="D17" s="22" t="n">
        <v>110.61</v>
      </c>
      <c r="E17" s="22" t="n">
        <v>113.37</v>
      </c>
      <c r="F17" s="22" t="n">
        <v>116.46</v>
      </c>
      <c r="G17" s="22" t="n">
        <v>116.65</v>
      </c>
      <c r="H17" s="22" t="n">
        <v>119.42</v>
      </c>
      <c r="I17" s="22" t="n">
        <v>122.95</v>
      </c>
      <c r="J17" s="22" t="n">
        <v>125.78</v>
      </c>
      <c r="K17" s="2" t="s">
        <v>461</v>
      </c>
    </row>
    <row r="18" customFormat="false" ht="15" hidden="false" customHeight="false" outlineLevel="0" collapsed="false">
      <c r="B18" s="6" t="s">
        <v>462</v>
      </c>
      <c r="C18" s="6" t="s">
        <v>83</v>
      </c>
      <c r="F18" s="22" t="n">
        <v>-2085.8</v>
      </c>
      <c r="G18" s="22" t="n">
        <v>-241.1</v>
      </c>
      <c r="H18" s="22" t="n">
        <v>-1956.7</v>
      </c>
      <c r="I18" s="22" t="n">
        <v>-3517.6</v>
      </c>
      <c r="J18" s="22" t="n">
        <v>-1747.5</v>
      </c>
      <c r="K18" s="2" t="s">
        <v>461</v>
      </c>
    </row>
    <row r="19" customFormat="false" ht="15" hidden="false" customHeight="false" outlineLevel="0" collapsed="false">
      <c r="B19" s="6" t="s">
        <v>463</v>
      </c>
      <c r="C19" s="6" t="s">
        <v>83</v>
      </c>
      <c r="F19" s="22" t="n">
        <v>888.8</v>
      </c>
      <c r="G19" s="22" t="n">
        <v>527.1</v>
      </c>
      <c r="H19" s="22" t="n">
        <v>399.7</v>
      </c>
      <c r="I19" s="22" t="n">
        <v>821.6</v>
      </c>
      <c r="J19" s="22" t="n">
        <v>767.5</v>
      </c>
      <c r="K19" s="2" t="s">
        <v>461</v>
      </c>
    </row>
    <row r="20" customFormat="false" ht="15" hidden="false" customHeight="false" outlineLevel="0" collapsed="false">
      <c r="B20" s="6" t="s">
        <v>464</v>
      </c>
      <c r="C20" s="6" t="s">
        <v>451</v>
      </c>
      <c r="D20" s="22" t="n">
        <v>11.74</v>
      </c>
      <c r="E20" s="22" t="n">
        <v>9.52</v>
      </c>
      <c r="F20" s="22" t="n">
        <v>6.31</v>
      </c>
      <c r="G20" s="22" t="n">
        <v>13.97</v>
      </c>
      <c r="H20" s="22" t="n">
        <v>2.44</v>
      </c>
      <c r="I20" s="22" t="n">
        <v>6.96</v>
      </c>
      <c r="J20" s="22" t="n">
        <v>6.73</v>
      </c>
      <c r="K20" s="2" t="s">
        <v>465</v>
      </c>
    </row>
    <row r="21" customFormat="false" ht="15" hidden="false" customHeight="false" outlineLevel="0" collapsed="false">
      <c r="B21" s="6" t="s">
        <v>466</v>
      </c>
      <c r="C21" s="6" t="s">
        <v>83</v>
      </c>
      <c r="D21" s="22" t="n">
        <v>2762</v>
      </c>
      <c r="E21" s="22" t="n">
        <v>2787</v>
      </c>
      <c r="F21" s="22" t="n">
        <v>2295</v>
      </c>
      <c r="G21" s="22" t="n">
        <v>2274</v>
      </c>
      <c r="H21" s="22" t="n">
        <v>1048</v>
      </c>
      <c r="I21" s="22" t="n">
        <v>134</v>
      </c>
      <c r="J21" s="22" t="n">
        <v>1374</v>
      </c>
      <c r="K21" s="2" t="s">
        <v>465</v>
      </c>
    </row>
    <row r="22" customFormat="false" ht="15" hidden="false" customHeight="false" outlineLevel="0" collapsed="false">
      <c r="B22" s="6" t="s">
        <v>467</v>
      </c>
      <c r="C22" s="6" t="s">
        <v>83</v>
      </c>
      <c r="F22" s="22" t="n">
        <v>-479.779761</v>
      </c>
      <c r="G22" s="22" t="n">
        <v>-317.63522</v>
      </c>
      <c r="H22" s="22" t="n">
        <v>-325.664155</v>
      </c>
      <c r="I22" s="22" t="n">
        <v>-443.944518</v>
      </c>
      <c r="J22" s="22" t="n">
        <v>-139.606248</v>
      </c>
      <c r="K22" s="2" t="s">
        <v>468</v>
      </c>
    </row>
    <row r="23" customFormat="false" ht="15" hidden="false" customHeight="false" outlineLevel="0" collapsed="false">
      <c r="B23" s="6" t="s">
        <v>469</v>
      </c>
      <c r="C23" s="6" t="s">
        <v>470</v>
      </c>
      <c r="F23" s="22" t="n">
        <v>-2.466</v>
      </c>
      <c r="G23" s="22" t="n">
        <v>-1.54</v>
      </c>
      <c r="H23" s="22" t="n">
        <v>-1.794</v>
      </c>
      <c r="I23" s="22" t="n">
        <v>-2.451</v>
      </c>
      <c r="J23" s="22" t="n">
        <v>-0.81</v>
      </c>
      <c r="K23" s="2" t="s">
        <v>468</v>
      </c>
    </row>
    <row r="26" customFormat="false" ht="15" hidden="false" customHeight="false" outlineLevel="0" collapsed="false">
      <c r="B26" s="16" t="s">
        <v>471</v>
      </c>
    </row>
    <row r="27" customFormat="false" ht="15" hidden="false" customHeight="false" outlineLevel="0" collapsed="false">
      <c r="B27" s="6" t="s">
        <v>472</v>
      </c>
      <c r="D27" s="22" t="n">
        <v>17770.544472</v>
      </c>
    </row>
    <row r="28" customFormat="false" ht="15" hidden="false" customHeight="false" outlineLevel="0" collapsed="false">
      <c r="B28" s="6" t="s">
        <v>473</v>
      </c>
      <c r="D28" s="22" t="n">
        <v>18770.544472</v>
      </c>
    </row>
    <row r="29" customFormat="false" ht="15" hidden="false" customHeight="false" outlineLevel="0" collapsed="false">
      <c r="B29" s="6" t="s">
        <v>474</v>
      </c>
      <c r="D29" s="22" t="n">
        <v>576.814951</v>
      </c>
    </row>
    <row r="30" customFormat="false" ht="15" hidden="false" customHeight="false" outlineLevel="0" collapsed="false">
      <c r="B30" s="6" t="s">
        <v>475</v>
      </c>
      <c r="D30" s="22" t="n">
        <v>1351.814951</v>
      </c>
    </row>
    <row r="31" customFormat="false" ht="15" hidden="false" customHeight="false" outlineLevel="0" collapsed="false">
      <c r="B31" s="6" t="s">
        <v>476</v>
      </c>
      <c r="D31" s="22" t="n">
        <v>3.25</v>
      </c>
    </row>
    <row r="32" customFormat="false" ht="15" hidden="false" customHeight="false" outlineLevel="0" collapsed="false">
      <c r="B32" s="6" t="s">
        <v>477</v>
      </c>
      <c r="D32" s="22" t="n">
        <v>7.2</v>
      </c>
    </row>
    <row r="33" customFormat="false" ht="15" hidden="false" customHeight="false" outlineLevel="0" collapsed="false">
      <c r="B33" s="6" t="s">
        <v>478</v>
      </c>
      <c r="D33" s="22" t="n">
        <v>5.25</v>
      </c>
    </row>
    <row r="34" customFormat="false" ht="15" hidden="false" customHeight="false" outlineLevel="0" collapsed="false">
      <c r="B34" s="6" t="s">
        <v>479</v>
      </c>
      <c r="D34" s="22" t="n">
        <v>7.1</v>
      </c>
    </row>
    <row r="35" customFormat="false" ht="15" hidden="false" customHeight="false" outlineLevel="0" collapsed="false">
      <c r="B35" s="6" t="s">
        <v>480</v>
      </c>
      <c r="D35" s="22" t="n">
        <v>11.69</v>
      </c>
    </row>
    <row r="36" customFormat="false" ht="15" hidden="false" customHeight="false" outlineLevel="0" collapsed="false">
      <c r="B36" s="6" t="s">
        <v>481</v>
      </c>
      <c r="D36" s="22" t="n">
        <v>9.36</v>
      </c>
    </row>
    <row r="37" customFormat="false" ht="15" hidden="false" customHeight="false" outlineLevel="0" collapsed="false">
      <c r="B37" s="6" t="s">
        <v>482</v>
      </c>
      <c r="D37" s="22" t="n">
        <v>9.23</v>
      </c>
    </row>
    <row r="38" customFormat="false" ht="15" hidden="false" customHeight="false" outlineLevel="0" collapsed="false">
      <c r="B38" s="6" t="s">
        <v>483</v>
      </c>
      <c r="D38" s="22" t="n">
        <v>13.94</v>
      </c>
    </row>
    <row r="39" customFormat="false" ht="15" hidden="false" customHeight="false" outlineLevel="0" collapsed="false">
      <c r="B39" s="6" t="s">
        <v>484</v>
      </c>
      <c r="D39" s="22" t="n">
        <v>11.54</v>
      </c>
    </row>
    <row r="40" customFormat="false" ht="15" hidden="false" customHeight="false" outlineLevel="0" collapsed="false">
      <c r="B40" s="6" t="s">
        <v>485</v>
      </c>
      <c r="D40" s="22" t="n">
        <v>7.82</v>
      </c>
    </row>
    <row r="41" customFormat="false" ht="15" hidden="false" customHeight="false" outlineLevel="0" collapsed="false">
      <c r="B41" s="6" t="s">
        <v>486</v>
      </c>
      <c r="D41" s="22" t="n">
        <v>8.41</v>
      </c>
    </row>
    <row r="42" customFormat="false" ht="15" hidden="false" customHeight="false" outlineLevel="0" collapsed="false">
      <c r="B42" s="6" t="s">
        <v>487</v>
      </c>
      <c r="D42" s="22" t="n">
        <v>-3.28</v>
      </c>
    </row>
    <row r="43" customFormat="false" ht="15" hidden="false" customHeight="false" outlineLevel="0" collapsed="false">
      <c r="B43" s="6" t="s">
        <v>488</v>
      </c>
      <c r="D43" s="22" t="n">
        <v>9.97</v>
      </c>
    </row>
    <row r="45" customFormat="false" ht="15" hidden="false" customHeight="false" outlineLevel="0" collapsed="false">
      <c r="B45" s="16" t="s">
        <v>489</v>
      </c>
    </row>
    <row r="46" customFormat="false" ht="23.85" hidden="false" customHeight="false" outlineLevel="0" collapsed="false">
      <c r="A46" s="13"/>
      <c r="B46" s="13" t="s">
        <v>490</v>
      </c>
      <c r="C46" s="13"/>
      <c r="D46" s="13" t="s">
        <v>491</v>
      </c>
      <c r="E46" s="13" t="s">
        <v>492</v>
      </c>
      <c r="F46" s="13" t="s">
        <v>493</v>
      </c>
    </row>
    <row r="47" customFormat="false" ht="15" hidden="false" customHeight="false" outlineLevel="0" collapsed="false">
      <c r="B47" s="6" t="s">
        <v>494</v>
      </c>
      <c r="D47" s="23" t="n">
        <v>7.2</v>
      </c>
      <c r="E47" s="23" t="n">
        <v>11.46</v>
      </c>
      <c r="F47" s="23" t="n">
        <v>13.59</v>
      </c>
    </row>
    <row r="48" customFormat="false" ht="15" hidden="false" customHeight="false" outlineLevel="0" collapsed="false">
      <c r="B48" s="6" t="s">
        <v>495</v>
      </c>
      <c r="D48" s="23" t="n">
        <v>7.2</v>
      </c>
      <c r="E48" s="23" t="n">
        <v>10.93</v>
      </c>
      <c r="F48" s="23" t="n">
        <v>13.06</v>
      </c>
    </row>
    <row r="49" customFormat="false" ht="15" hidden="false" customHeight="false" outlineLevel="0" collapsed="false">
      <c r="B49" s="6" t="s">
        <v>496</v>
      </c>
      <c r="D49" s="23" t="n">
        <v>7.2</v>
      </c>
      <c r="E49" s="23" t="n">
        <v>11.2</v>
      </c>
      <c r="F49" s="23" t="n">
        <v>13.33</v>
      </c>
    </row>
    <row r="50" customFormat="false" ht="15" hidden="false" customHeight="false" outlineLevel="0" collapsed="false">
      <c r="B50" s="6" t="s">
        <v>497</v>
      </c>
      <c r="D50" s="23" t="n">
        <v>3.37</v>
      </c>
      <c r="E50" s="23" t="n">
        <v>7.63</v>
      </c>
      <c r="F50" s="23" t="n">
        <v>9.76</v>
      </c>
    </row>
    <row r="51" customFormat="false" ht="15" hidden="false" customHeight="false" outlineLevel="0" collapsed="false">
      <c r="B51" s="6" t="s">
        <v>498</v>
      </c>
      <c r="D51" s="23" t="n">
        <v>3.37</v>
      </c>
      <c r="E51" s="23" t="n">
        <v>7.1</v>
      </c>
      <c r="F51" s="23" t="n">
        <v>9.23</v>
      </c>
    </row>
    <row r="52" customFormat="false" ht="15" hidden="false" customHeight="false" outlineLevel="0" collapsed="false">
      <c r="B52" s="6" t="s">
        <v>499</v>
      </c>
      <c r="D52" s="23" t="n">
        <v>3.37</v>
      </c>
      <c r="E52" s="23" t="n">
        <v>7.36</v>
      </c>
      <c r="F52" s="23" t="n">
        <v>9.49</v>
      </c>
    </row>
    <row r="53" customFormat="false" ht="15" hidden="false" customHeight="false" outlineLevel="0" collapsed="false">
      <c r="B53" s="6" t="s">
        <v>500</v>
      </c>
      <c r="D53" s="23" t="n">
        <v>5.28</v>
      </c>
      <c r="E53" s="23" t="n">
        <v>9.55</v>
      </c>
      <c r="F53" s="23" t="n">
        <v>11.68</v>
      </c>
    </row>
    <row r="54" customFormat="false" ht="15" hidden="false" customHeight="false" outlineLevel="0" collapsed="false">
      <c r="B54" s="6" t="s">
        <v>501</v>
      </c>
      <c r="D54" s="23" t="n">
        <v>5.28</v>
      </c>
      <c r="E54" s="23" t="n">
        <v>9.01</v>
      </c>
      <c r="F54" s="23" t="n">
        <v>11.14</v>
      </c>
    </row>
    <row r="55" customFormat="false" ht="15" hidden="false" customHeight="false" outlineLevel="0" collapsed="false">
      <c r="B55" s="6" t="s">
        <v>502</v>
      </c>
      <c r="D55" s="23" t="n">
        <v>5.28</v>
      </c>
      <c r="E55" s="23" t="n">
        <v>9.28</v>
      </c>
      <c r="F55" s="23" t="n">
        <v>11.41</v>
      </c>
    </row>
    <row r="56" customFormat="false" ht="15" hidden="false" customHeight="false" outlineLevel="0" collapsed="false">
      <c r="B56" s="6" t="s">
        <v>503</v>
      </c>
      <c r="D56" s="23" t="n">
        <v>7.19</v>
      </c>
      <c r="E56" s="23" t="n">
        <v>11.69</v>
      </c>
      <c r="F56" s="23" t="n">
        <v>13.94</v>
      </c>
    </row>
    <row r="57" customFormat="false" ht="15" hidden="false" customHeight="false" outlineLevel="0" collapsed="false">
      <c r="B57" s="6" t="s">
        <v>504</v>
      </c>
      <c r="D57" s="23" t="n">
        <v>7.19</v>
      </c>
      <c r="E57" s="23" t="n">
        <v>11.12</v>
      </c>
      <c r="F57" s="23" t="n">
        <v>13.38</v>
      </c>
    </row>
    <row r="58" customFormat="false" ht="15" hidden="false" customHeight="false" outlineLevel="0" collapsed="false">
      <c r="B58" s="6" t="s">
        <v>505</v>
      </c>
      <c r="D58" s="23" t="n">
        <v>7.19</v>
      </c>
      <c r="E58" s="23" t="n">
        <v>11.41</v>
      </c>
      <c r="F58" s="23" t="n">
        <v>13.66</v>
      </c>
    </row>
    <row r="59" customFormat="false" ht="15" hidden="false" customHeight="false" outlineLevel="0" collapsed="false">
      <c r="B59" s="6" t="s">
        <v>506</v>
      </c>
      <c r="D59" s="23" t="n">
        <v>3.25</v>
      </c>
      <c r="E59" s="23" t="n">
        <v>7.75</v>
      </c>
      <c r="F59" s="23" t="n">
        <v>10</v>
      </c>
    </row>
    <row r="60" customFormat="false" ht="15" hidden="false" customHeight="false" outlineLevel="0" collapsed="false">
      <c r="B60" s="6" t="s">
        <v>507</v>
      </c>
      <c r="D60" s="23" t="n">
        <v>3.25</v>
      </c>
      <c r="E60" s="23" t="n">
        <v>7.19</v>
      </c>
      <c r="F60" s="23" t="n">
        <v>9.44</v>
      </c>
    </row>
    <row r="61" customFormat="false" ht="15" hidden="false" customHeight="false" outlineLevel="0" collapsed="false">
      <c r="B61" s="6" t="s">
        <v>508</v>
      </c>
      <c r="D61" s="23" t="n">
        <v>3.25</v>
      </c>
      <c r="E61" s="23" t="n">
        <v>7.47</v>
      </c>
      <c r="F61" s="23" t="n">
        <v>9.72</v>
      </c>
    </row>
    <row r="62" customFormat="false" ht="15" hidden="false" customHeight="false" outlineLevel="0" collapsed="false">
      <c r="B62" s="6" t="s">
        <v>509</v>
      </c>
      <c r="D62" s="23" t="n">
        <v>5.22</v>
      </c>
      <c r="E62" s="23" t="n">
        <v>9.72</v>
      </c>
      <c r="F62" s="23" t="n">
        <v>11.97</v>
      </c>
    </row>
    <row r="63" customFormat="false" ht="15" hidden="false" customHeight="false" outlineLevel="0" collapsed="false">
      <c r="B63" s="6" t="s">
        <v>510</v>
      </c>
      <c r="D63" s="23" t="n">
        <v>5.22</v>
      </c>
      <c r="E63" s="23" t="n">
        <v>9.15</v>
      </c>
      <c r="F63" s="23" t="n">
        <v>11.41</v>
      </c>
    </row>
    <row r="64" customFormat="false" ht="15" hidden="false" customHeight="false" outlineLevel="0" collapsed="false">
      <c r="B64" s="6" t="s">
        <v>511</v>
      </c>
      <c r="D64" s="23" t="n">
        <v>5.22</v>
      </c>
      <c r="E64" s="23" t="n">
        <v>9.44</v>
      </c>
      <c r="F64" s="23" t="n">
        <v>11.69</v>
      </c>
    </row>
    <row r="65" customFormat="false" ht="15" hidden="false" customHeight="false" outlineLevel="0" collapsed="false">
      <c r="B65" s="6" t="s">
        <v>512</v>
      </c>
      <c r="D65" s="23" t="n">
        <v>7.19</v>
      </c>
      <c r="E65" s="23" t="n">
        <v>11.57</v>
      </c>
      <c r="F65" s="23" t="n">
        <v>13.76</v>
      </c>
    </row>
    <row r="66" customFormat="false" ht="15" hidden="false" customHeight="false" outlineLevel="0" collapsed="false">
      <c r="B66" s="6" t="s">
        <v>513</v>
      </c>
      <c r="D66" s="23" t="n">
        <v>7.19</v>
      </c>
      <c r="E66" s="23" t="n">
        <v>11.02</v>
      </c>
      <c r="F66" s="23" t="n">
        <v>13.21</v>
      </c>
    </row>
    <row r="67" customFormat="false" ht="15" hidden="false" customHeight="false" outlineLevel="0" collapsed="false">
      <c r="B67" s="6" t="s">
        <v>514</v>
      </c>
      <c r="D67" s="23" t="n">
        <v>7.19</v>
      </c>
      <c r="E67" s="23" t="n">
        <v>11.3</v>
      </c>
      <c r="F67" s="23" t="n">
        <v>13.49</v>
      </c>
    </row>
    <row r="68" customFormat="false" ht="15" hidden="false" customHeight="false" outlineLevel="0" collapsed="false">
      <c r="B68" s="6" t="s">
        <v>515</v>
      </c>
      <c r="D68" s="23" t="n">
        <v>3.31</v>
      </c>
      <c r="E68" s="23" t="n">
        <v>7.69</v>
      </c>
      <c r="F68" s="23" t="n">
        <v>9.88</v>
      </c>
    </row>
    <row r="69" customFormat="false" ht="15" hidden="false" customHeight="false" outlineLevel="0" collapsed="false">
      <c r="B69" s="6" t="s">
        <v>516</v>
      </c>
      <c r="D69" s="23" t="n">
        <v>3.31</v>
      </c>
      <c r="E69" s="23" t="n">
        <v>7.14</v>
      </c>
      <c r="F69" s="23" t="n">
        <v>9.33</v>
      </c>
    </row>
    <row r="70" customFormat="false" ht="15" hidden="false" customHeight="false" outlineLevel="0" collapsed="false">
      <c r="B70" s="6" t="s">
        <v>517</v>
      </c>
      <c r="D70" s="23" t="n">
        <v>3.31</v>
      </c>
      <c r="E70" s="23" t="n">
        <v>7.41</v>
      </c>
      <c r="F70" s="23" t="n">
        <v>9.6</v>
      </c>
    </row>
    <row r="71" customFormat="false" ht="15" hidden="false" customHeight="false" outlineLevel="0" collapsed="false">
      <c r="B71" s="6" t="s">
        <v>518</v>
      </c>
      <c r="D71" s="23" t="n">
        <v>5.25</v>
      </c>
      <c r="E71" s="23" t="n">
        <v>9.63</v>
      </c>
      <c r="F71" s="23" t="n">
        <v>11.82</v>
      </c>
    </row>
    <row r="72" customFormat="false" ht="15" hidden="false" customHeight="false" outlineLevel="0" collapsed="false">
      <c r="B72" s="6" t="s">
        <v>519</v>
      </c>
      <c r="D72" s="23" t="n">
        <v>5.25</v>
      </c>
      <c r="E72" s="23" t="n">
        <v>9.08</v>
      </c>
      <c r="F72" s="23" t="n">
        <v>11.27</v>
      </c>
    </row>
    <row r="73" customFormat="false" ht="15" hidden="false" customHeight="false" outlineLevel="0" collapsed="false">
      <c r="B73" s="6" t="s">
        <v>520</v>
      </c>
      <c r="D73" s="23" t="n">
        <v>5.25</v>
      </c>
      <c r="E73" s="23" t="n">
        <v>9.36</v>
      </c>
      <c r="F73" s="23" t="n">
        <v>11.54</v>
      </c>
    </row>
    <row r="75" customFormat="false" ht="15" hidden="false" customHeight="false" outlineLevel="0" collapsed="false">
      <c r="B75" s="16" t="s">
        <v>521</v>
      </c>
    </row>
    <row r="76" customFormat="false" ht="23.85" hidden="false" customHeight="false" outlineLevel="0" collapsed="false">
      <c r="A76" s="13"/>
      <c r="B76" s="13" t="s">
        <v>490</v>
      </c>
      <c r="C76" s="13"/>
      <c r="D76" s="13" t="s">
        <v>522</v>
      </c>
      <c r="E76" s="13" t="s">
        <v>523</v>
      </c>
    </row>
    <row r="77" customFormat="false" ht="15" hidden="false" customHeight="false" outlineLevel="0" collapsed="false">
      <c r="B77" s="6" t="s">
        <v>524</v>
      </c>
      <c r="D77" s="23" t="n">
        <v>15.85</v>
      </c>
      <c r="E77" s="23" t="n">
        <v>3.41</v>
      </c>
    </row>
    <row r="78" customFormat="false" ht="15" hidden="false" customHeight="false" outlineLevel="0" collapsed="false">
      <c r="B78" s="6" t="s">
        <v>525</v>
      </c>
      <c r="D78" s="23" t="n">
        <v>12.01</v>
      </c>
      <c r="E78" s="23" t="n">
        <v>-0.42</v>
      </c>
    </row>
    <row r="79" customFormat="false" ht="15" hidden="false" customHeight="false" outlineLevel="0" collapsed="false">
      <c r="B79" s="6" t="s">
        <v>526</v>
      </c>
      <c r="D79" s="23" t="n">
        <v>13.93</v>
      </c>
      <c r="E79" s="23" t="n">
        <v>1.49</v>
      </c>
    </row>
    <row r="80" customFormat="false" ht="15" hidden="false" customHeight="false" outlineLevel="0" collapsed="false">
      <c r="B80" s="6" t="s">
        <v>527</v>
      </c>
      <c r="D80" s="23" t="n">
        <v>15.78</v>
      </c>
      <c r="E80" s="23" t="n">
        <v>3.32</v>
      </c>
    </row>
    <row r="81" customFormat="false" ht="15" hidden="false" customHeight="false" outlineLevel="0" collapsed="false">
      <c r="B81" s="6" t="s">
        <v>528</v>
      </c>
      <c r="D81" s="23" t="n">
        <v>11.84</v>
      </c>
      <c r="E81" s="23" t="n">
        <v>-0.62</v>
      </c>
    </row>
    <row r="82" customFormat="false" ht="15" hidden="false" customHeight="false" outlineLevel="0" collapsed="false">
      <c r="B82" s="6" t="s">
        <v>529</v>
      </c>
      <c r="D82" s="23" t="n">
        <v>13.81</v>
      </c>
      <c r="E82" s="23" t="n">
        <v>1.35</v>
      </c>
    </row>
    <row r="83" customFormat="false" ht="15" hidden="false" customHeight="false" outlineLevel="0" collapsed="false">
      <c r="B83" s="6" t="s">
        <v>530</v>
      </c>
      <c r="D83" s="23" t="n">
        <v>15.82</v>
      </c>
      <c r="E83" s="23" t="n">
        <v>3.37</v>
      </c>
    </row>
    <row r="84" customFormat="false" ht="15" hidden="false" customHeight="false" outlineLevel="0" collapsed="false">
      <c r="B84" s="6" t="s">
        <v>531</v>
      </c>
      <c r="D84" s="23" t="n">
        <v>11.93</v>
      </c>
      <c r="E84" s="23" t="n">
        <v>-0.52</v>
      </c>
    </row>
    <row r="85" customFormat="false" ht="15" hidden="false" customHeight="false" outlineLevel="0" collapsed="false">
      <c r="B85" s="6" t="s">
        <v>532</v>
      </c>
      <c r="D85" s="23" t="n">
        <v>13.87</v>
      </c>
      <c r="E85" s="23" t="n">
        <v>1.42</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true"/>
  </sheetPr>
  <dimension ref="A1:O38"/>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46"/>
    <col collapsed="false" customWidth="true" hidden="false" outlineLevel="0" max="3" min="3" style="0" width="8"/>
    <col collapsed="false" customWidth="true" hidden="false" outlineLevel="0" max="10" min="4" style="0" width="12"/>
    <col collapsed="false" customWidth="true" hidden="false" outlineLevel="0" max="11" min="11" style="0" width="3"/>
    <col collapsed="false" customWidth="true" hidden="false" outlineLevel="0" max="14" min="12" style="0" width="12"/>
    <col collapsed="false" customWidth="true" hidden="false" outlineLevel="0" max="15" min="15" style="0" width="48"/>
  </cols>
  <sheetData>
    <row r="1" customFormat="false" ht="17.35" hidden="false" customHeight="false" outlineLevel="0" collapsed="false">
      <c r="A1" s="1" t="s">
        <v>533</v>
      </c>
    </row>
    <row r="2" customFormat="false" ht="15" hidden="false" customHeight="false" outlineLevel="0" collapsed="false">
      <c r="A2" s="2" t="s">
        <v>534</v>
      </c>
    </row>
    <row r="3" customFormat="false" ht="30" hidden="false" customHeight="true" outlineLevel="0" collapsed="false">
      <c r="A3" s="24" t="s">
        <v>535</v>
      </c>
      <c r="B3" s="24"/>
      <c r="C3" s="24"/>
      <c r="D3" s="24"/>
      <c r="E3" s="24"/>
      <c r="F3" s="24"/>
      <c r="G3" s="24"/>
      <c r="H3" s="24"/>
      <c r="I3" s="24"/>
      <c r="J3" s="24"/>
      <c r="K3" s="24"/>
      <c r="L3" s="24"/>
      <c r="M3" s="24"/>
      <c r="N3" s="24"/>
      <c r="O3" s="24"/>
    </row>
    <row r="5" customFormat="false" ht="15" hidden="false" customHeight="false" outlineLevel="0" collapsed="false">
      <c r="A5" s="13"/>
      <c r="B5" s="13" t="s">
        <v>536</v>
      </c>
      <c r="C5" s="13" t="s">
        <v>72</v>
      </c>
      <c r="D5" s="13" t="str">
        <f aca="false">Data_Panel!D$5</f>
        <v>2023-H1</v>
      </c>
      <c r="E5" s="13" t="str">
        <f aca="false">Data_Panel!E$5</f>
        <v>2023-H2</v>
      </c>
      <c r="F5" s="13" t="str">
        <f aca="false">Data_Panel!F$5</f>
        <v>2024-H1</v>
      </c>
      <c r="G5" s="13" t="str">
        <f aca="false">Data_Panel!G$5</f>
        <v>2024-H2</v>
      </c>
      <c r="H5" s="13" t="str">
        <f aca="false">Data_Panel!H$5</f>
        <v>2025-H1</v>
      </c>
      <c r="I5" s="13" t="str">
        <f aca="false">Data_Panel!I$5</f>
        <v>2025-H2</v>
      </c>
      <c r="J5" s="13" t="str">
        <f aca="false">Data_Panel!J$5</f>
        <v>2026-H1</v>
      </c>
      <c r="K5" s="13"/>
      <c r="L5" s="13" t="s">
        <v>537</v>
      </c>
      <c r="M5" s="13" t="s">
        <v>538</v>
      </c>
      <c r="N5" s="13" t="s">
        <v>539</v>
      </c>
      <c r="O5" s="13" t="s">
        <v>540</v>
      </c>
    </row>
    <row r="6" customFormat="false" ht="15" hidden="false" customHeight="false" outlineLevel="0" collapsed="false">
      <c r="B6" s="6" t="s">
        <v>82</v>
      </c>
      <c r="C6" s="6" t="s">
        <v>83</v>
      </c>
      <c r="D6" s="25" t="n">
        <f aca="false">EBIT_Analysis!D7</f>
        <v>20430.922514</v>
      </c>
      <c r="E6" s="25" t="n">
        <f aca="false">EBIT_Analysis!E7</f>
        <v>20098.709794</v>
      </c>
      <c r="F6" s="25" t="n">
        <f aca="false">EBIT_Analysis!F7</f>
        <v>19457.008656</v>
      </c>
      <c r="G6" s="25" t="n">
        <f aca="false">EBIT_Analysis!G7</f>
        <v>20626.284337</v>
      </c>
      <c r="H6" s="25" t="n">
        <f aca="false">EBIT_Analysis!H7</f>
        <v>18157.27498</v>
      </c>
      <c r="I6" s="25" t="n">
        <f aca="false">EBIT_Analysis!I7</f>
        <v>18114.352911</v>
      </c>
      <c r="J6" s="25" t="n">
        <f aca="false">EBIT_Analysis!J7</f>
        <v>17229.455528</v>
      </c>
      <c r="L6" s="14" t="n">
        <f aca="false">H6</f>
        <v>18157.27498</v>
      </c>
      <c r="M6" s="14" t="n">
        <f aca="false">J6</f>
        <v>17229.455528</v>
      </c>
      <c r="N6" s="26" t="n">
        <f aca="false">M6-L6</f>
        <v>-927.819452</v>
      </c>
      <c r="O6" s="2" t="s">
        <v>541</v>
      </c>
    </row>
    <row r="7" customFormat="false" ht="15" hidden="false" customHeight="false" outlineLevel="0" collapsed="false">
      <c r="B7" s="6" t="s">
        <v>542</v>
      </c>
      <c r="C7" s="6" t="s">
        <v>83</v>
      </c>
      <c r="D7" s="25" t="n">
        <f aca="false">EBIT_Analysis!D8</f>
        <v>3852.235213</v>
      </c>
      <c r="E7" s="25" t="n">
        <f aca="false">EBIT_Analysis!E8</f>
        <v>3432.07241</v>
      </c>
      <c r="F7" s="25" t="n">
        <f aca="false">EBIT_Analysis!F8</f>
        <v>3061.455452</v>
      </c>
      <c r="G7" s="25" t="n">
        <f aca="false">EBIT_Analysis!G8</f>
        <v>2575.43719</v>
      </c>
      <c r="H7" s="25" t="n">
        <f aca="false">EBIT_Analysis!H8</f>
        <v>1006.791297</v>
      </c>
      <c r="I7" s="25" t="n">
        <f aca="false">EBIT_Analysis!I8</f>
        <v>-593.507328</v>
      </c>
      <c r="J7" s="25" t="n">
        <f aca="false">EBIT_Analysis!J8</f>
        <v>1348.185049</v>
      </c>
      <c r="L7" s="14" t="n">
        <f aca="false">H7</f>
        <v>1006.791297</v>
      </c>
      <c r="M7" s="14" t="n">
        <f aca="false">J7</f>
        <v>1348.185049</v>
      </c>
      <c r="N7" s="26" t="n">
        <f aca="false">M7-L7</f>
        <v>341.393752</v>
      </c>
      <c r="O7" s="2" t="s">
        <v>543</v>
      </c>
    </row>
    <row r="8" customFormat="false" ht="15" hidden="false" customHeight="false" outlineLevel="0" collapsed="false">
      <c r="B8" s="3" t="s">
        <v>544</v>
      </c>
      <c r="C8" s="6" t="s">
        <v>106</v>
      </c>
      <c r="D8" s="27" t="n">
        <f aca="false">EBIT_Analysis!D9</f>
        <v>0.188549254707432</v>
      </c>
      <c r="E8" s="27" t="n">
        <f aca="false">EBIT_Analysis!E9</f>
        <v>0.170760832171653</v>
      </c>
      <c r="F8" s="27" t="n">
        <f aca="false">EBIT_Analysis!F9</f>
        <v>0.157344610681248</v>
      </c>
      <c r="G8" s="27" t="n">
        <f aca="false">EBIT_Analysis!G9</f>
        <v>0.124861906677981</v>
      </c>
      <c r="H8" s="27" t="n">
        <f aca="false">EBIT_Analysis!H9</f>
        <v>0.0554483697641286</v>
      </c>
      <c r="I8" s="27" t="n">
        <f aca="false">EBIT_Analysis!I9</f>
        <v>-0.0327644785831456</v>
      </c>
      <c r="J8" s="27" t="n">
        <f aca="false">EBIT_Analysis!J9</f>
        <v>0.0782488481315636</v>
      </c>
      <c r="L8" s="28" t="n">
        <f aca="false">H8</f>
        <v>0.0554483697641286</v>
      </c>
      <c r="M8" s="28" t="n">
        <f aca="false">J8</f>
        <v>0.0782488481315636</v>
      </c>
      <c r="N8" s="29" t="n">
        <f aca="false">(M8-L8)*100</f>
        <v>2.2800478367435</v>
      </c>
      <c r="O8" s="2" t="s">
        <v>545</v>
      </c>
    </row>
    <row r="9" customFormat="false" ht="15" hidden="false" customHeight="false" outlineLevel="0" collapsed="false">
      <c r="B9" s="6" t="s">
        <v>546</v>
      </c>
      <c r="C9" s="6" t="s">
        <v>83</v>
      </c>
      <c r="D9" s="30" t="n">
        <f aca="false">EBIT_Analysis!D19</f>
        <v>3852.235213</v>
      </c>
      <c r="E9" s="30" t="n">
        <f aca="false">EBIT_Analysis!E19</f>
        <v>3432.07241</v>
      </c>
      <c r="F9" s="30" t="n">
        <f aca="false">EBIT_Analysis!F19</f>
        <v>3061.455452</v>
      </c>
      <c r="G9" s="30" t="n">
        <f aca="false">EBIT_Analysis!G19</f>
        <v>2575.43719</v>
      </c>
      <c r="H9" s="30" t="n">
        <f aca="false">EBIT_Analysis!H19</f>
        <v>1706.791297</v>
      </c>
      <c r="I9" s="30" t="n">
        <f aca="false">EBIT_Analysis!I19</f>
        <v>1806.492672</v>
      </c>
      <c r="J9" s="30" t="n">
        <f aca="false">EBIT_Analysis!J19</f>
        <v>1448.185049</v>
      </c>
      <c r="L9" s="14" t="n">
        <f aca="false">H9</f>
        <v>1706.791297</v>
      </c>
      <c r="M9" s="14" t="n">
        <f aca="false">J9</f>
        <v>1448.185049</v>
      </c>
      <c r="N9" s="26" t="n">
        <f aca="false">M9-L9</f>
        <v>-258.606248</v>
      </c>
      <c r="O9" s="2" t="s">
        <v>547</v>
      </c>
    </row>
    <row r="10" customFormat="false" ht="15" hidden="false" customHeight="false" outlineLevel="0" collapsed="false">
      <c r="B10" s="3" t="s">
        <v>548</v>
      </c>
      <c r="C10" s="6" t="s">
        <v>106</v>
      </c>
      <c r="D10" s="31" t="n">
        <f aca="false">EBIT_Analysis!D20</f>
        <v>0.188549254707432</v>
      </c>
      <c r="E10" s="31" t="n">
        <f aca="false">EBIT_Analysis!E20</f>
        <v>0.170760832171653</v>
      </c>
      <c r="F10" s="31" t="n">
        <f aca="false">EBIT_Analysis!F20</f>
        <v>0.157344610681248</v>
      </c>
      <c r="G10" s="31" t="n">
        <f aca="false">EBIT_Analysis!G20</f>
        <v>0.124861906677981</v>
      </c>
      <c r="H10" s="31" t="n">
        <f aca="false">EBIT_Analysis!H20</f>
        <v>0.0940004102421761</v>
      </c>
      <c r="I10" s="31" t="n">
        <f aca="false">EBIT_Analysis!I20</f>
        <v>0.0997271434908945</v>
      </c>
      <c r="J10" s="31" t="n">
        <f aca="false">EBIT_Analysis!J20</f>
        <v>0.0840528620678999</v>
      </c>
      <c r="L10" s="28" t="n">
        <f aca="false">H10</f>
        <v>0.0940004102421761</v>
      </c>
      <c r="M10" s="28" t="n">
        <f aca="false">J10</f>
        <v>0.0840528620678999</v>
      </c>
      <c r="N10" s="29" t="n">
        <f aca="false">(M10-L10)*100</f>
        <v>-0.994754817427618</v>
      </c>
      <c r="O10" s="2" t="s">
        <v>547</v>
      </c>
    </row>
    <row r="11" customFormat="false" ht="15" hidden="false" customHeight="false" outlineLevel="0" collapsed="false">
      <c r="B11" s="6" t="s">
        <v>549</v>
      </c>
      <c r="C11" s="6" t="s">
        <v>83</v>
      </c>
      <c r="D11" s="30" t="n">
        <f aca="false">EBIT_Analysis!D21</f>
        <v>3852.235213</v>
      </c>
      <c r="E11" s="30" t="n">
        <f aca="false">EBIT_Analysis!E21</f>
        <v>3432.07241</v>
      </c>
      <c r="F11" s="30" t="n">
        <f aca="false">EBIT_Analysis!F21</f>
        <v>3061.455452</v>
      </c>
      <c r="G11" s="30" t="n">
        <f aca="false">EBIT_Analysis!G21</f>
        <v>2575.43719</v>
      </c>
      <c r="H11" s="30" t="n">
        <f aca="false">EBIT_Analysis!H21</f>
        <v>2106.791297</v>
      </c>
      <c r="I11" s="30" t="n">
        <f aca="false">EBIT_Analysis!I21</f>
        <v>2106.492672</v>
      </c>
      <c r="J11" s="30" t="n">
        <f aca="false">EBIT_Analysis!J21</f>
        <v>1848.185049</v>
      </c>
      <c r="L11" s="14" t="n">
        <f aca="false">H11</f>
        <v>2106.791297</v>
      </c>
      <c r="M11" s="14" t="n">
        <f aca="false">J11</f>
        <v>1848.185049</v>
      </c>
      <c r="N11" s="26" t="n">
        <f aca="false">M11-L11</f>
        <v>-258.606248</v>
      </c>
      <c r="O11" s="2" t="s">
        <v>547</v>
      </c>
    </row>
    <row r="12" customFormat="false" ht="15" hidden="false" customHeight="false" outlineLevel="0" collapsed="false">
      <c r="B12" s="3" t="s">
        <v>550</v>
      </c>
      <c r="C12" s="6" t="s">
        <v>106</v>
      </c>
      <c r="D12" s="31" t="n">
        <f aca="false">EBIT_Analysis!D22</f>
        <v>0.188549254707432</v>
      </c>
      <c r="E12" s="31" t="n">
        <f aca="false">EBIT_Analysis!E22</f>
        <v>0.170760832171653</v>
      </c>
      <c r="F12" s="31" t="n">
        <f aca="false">EBIT_Analysis!F22</f>
        <v>0.157344610681248</v>
      </c>
      <c r="G12" s="31" t="n">
        <f aca="false">EBIT_Analysis!G22</f>
        <v>0.124861906677981</v>
      </c>
      <c r="H12" s="31" t="n">
        <f aca="false">EBIT_Analysis!H22</f>
        <v>0.116030147658203</v>
      </c>
      <c r="I12" s="31" t="n">
        <f aca="false">EBIT_Analysis!I22</f>
        <v>0.11628859625015</v>
      </c>
      <c r="J12" s="31" t="n">
        <f aca="false">EBIT_Analysis!J22</f>
        <v>0.107268917813245</v>
      </c>
      <c r="L12" s="28" t="n">
        <f aca="false">H12</f>
        <v>0.116030147658203</v>
      </c>
      <c r="M12" s="28" t="n">
        <f aca="false">J12</f>
        <v>0.107268917813245</v>
      </c>
      <c r="N12" s="29" t="n">
        <f aca="false">(M12-L12)*100</f>
        <v>-0.876122984495779</v>
      </c>
      <c r="O12" s="2" t="s">
        <v>547</v>
      </c>
    </row>
    <row r="13" customFormat="false" ht="15" hidden="false" customHeight="false" outlineLevel="0" collapsed="false">
      <c r="B13" s="6" t="s">
        <v>551</v>
      </c>
      <c r="C13" s="6" t="s">
        <v>83</v>
      </c>
      <c r="D13" s="25" t="n">
        <f aca="false">Commercial!D7</f>
        <v>18892</v>
      </c>
      <c r="E13" s="25" t="n">
        <f aca="false">Commercial!E7</f>
        <v>18457</v>
      </c>
      <c r="F13" s="25" t="n">
        <f aca="false">Commercial!F7</f>
        <v>17695</v>
      </c>
      <c r="G13" s="25" t="n">
        <f aca="false">Commercial!G7</f>
        <v>18743</v>
      </c>
      <c r="H13" s="25" t="n">
        <f aca="false">Commercial!H7</f>
        <v>16138</v>
      </c>
      <c r="I13" s="25" t="n">
        <f aca="false">Commercial!I7</f>
        <v>16047</v>
      </c>
      <c r="J13" s="25" t="n">
        <f aca="false">Commercial!J7</f>
        <v>15158</v>
      </c>
      <c r="L13" s="14" t="n">
        <f aca="false">H13</f>
        <v>16138</v>
      </c>
      <c r="M13" s="14" t="n">
        <f aca="false">J13</f>
        <v>15158</v>
      </c>
      <c r="N13" s="26" t="n">
        <f aca="false">M13-L13</f>
        <v>-980</v>
      </c>
      <c r="O13" s="2" t="s">
        <v>552</v>
      </c>
    </row>
    <row r="14" customFormat="false" ht="15" hidden="false" customHeight="false" outlineLevel="0" collapsed="false">
      <c r="B14" s="6" t="s">
        <v>169</v>
      </c>
      <c r="C14" s="6" t="s">
        <v>167</v>
      </c>
      <c r="D14" s="25" t="n">
        <f aca="false">Commercial!D8</f>
        <v>170802</v>
      </c>
      <c r="E14" s="25" t="n">
        <f aca="false">Commercial!E8</f>
        <v>162803</v>
      </c>
      <c r="F14" s="25" t="n">
        <f aca="false">Commercial!F8</f>
        <v>151944</v>
      </c>
      <c r="G14" s="25" t="n">
        <f aca="false">Commercial!G8</f>
        <v>160676</v>
      </c>
      <c r="H14" s="25" t="n">
        <f aca="false">Commercial!H8</f>
        <v>135142</v>
      </c>
      <c r="I14" s="25" t="n">
        <f aca="false">Commercial!I8</f>
        <v>130521</v>
      </c>
      <c r="J14" s="25" t="n">
        <f aca="false">Commercial!J8</f>
        <v>120508</v>
      </c>
      <c r="L14" s="14" t="n">
        <f aca="false">H14</f>
        <v>135142</v>
      </c>
      <c r="M14" s="14" t="n">
        <f aca="false">J14</f>
        <v>120508</v>
      </c>
      <c r="N14" s="32" t="n">
        <f aca="false">M14/L14-1</f>
        <v>-0.108286099066167</v>
      </c>
      <c r="O14" s="2" t="s">
        <v>553</v>
      </c>
    </row>
    <row r="15" customFormat="false" ht="15" hidden="false" customHeight="false" outlineLevel="0" collapsed="false">
      <c r="B15" s="6" t="s">
        <v>554</v>
      </c>
      <c r="C15" s="6" t="s">
        <v>172</v>
      </c>
      <c r="D15" s="33" t="n">
        <f aca="false">Commercial!D11</f>
        <v>110.607604126415</v>
      </c>
      <c r="E15" s="33" t="n">
        <f aca="false">Commercial!E11</f>
        <v>113.370146741768</v>
      </c>
      <c r="F15" s="33" t="n">
        <f aca="false">Commercial!F11</f>
        <v>116.457379034381</v>
      </c>
      <c r="G15" s="33" t="n">
        <f aca="false">Commercial!G11</f>
        <v>116.650899947721</v>
      </c>
      <c r="H15" s="33" t="n">
        <f aca="false">Commercial!H11</f>
        <v>119.415133711207</v>
      </c>
      <c r="I15" s="33" t="n">
        <f aca="false">Commercial!I11</f>
        <v>122.945732870573</v>
      </c>
      <c r="J15" s="33" t="n">
        <f aca="false">Commercial!J11</f>
        <v>125.784180303382</v>
      </c>
      <c r="L15" s="34" t="n">
        <f aca="false">H15</f>
        <v>119.415133711207</v>
      </c>
      <c r="M15" s="34" t="n">
        <f aca="false">J15</f>
        <v>125.784180303382</v>
      </c>
      <c r="N15" s="32" t="n">
        <f aca="false">M15/L15-1</f>
        <v>0.0533353386144315</v>
      </c>
      <c r="O15" s="2" t="s">
        <v>555</v>
      </c>
    </row>
    <row r="16" customFormat="false" ht="15" hidden="false" customHeight="false" outlineLevel="0" collapsed="false">
      <c r="B16" s="6" t="s">
        <v>166</v>
      </c>
      <c r="C16" s="6" t="s">
        <v>167</v>
      </c>
      <c r="D16" s="25" t="n">
        <f aca="false">Commercial!D9</f>
        <v>167354</v>
      </c>
      <c r="E16" s="25" t="n">
        <f aca="false">Commercial!E9</f>
        <v>152867</v>
      </c>
      <c r="F16" s="25" t="n">
        <f aca="false">Commercial!F9</f>
        <v>155945</v>
      </c>
      <c r="G16" s="25" t="n">
        <f aca="false">Commercial!G9</f>
        <v>154773</v>
      </c>
      <c r="H16" s="25" t="n">
        <f aca="false">Commercial!H9</f>
        <v>146391</v>
      </c>
      <c r="I16" s="25" t="n">
        <f aca="false">Commercial!I9</f>
        <v>133058</v>
      </c>
      <c r="J16" s="25" t="n">
        <f aca="false">Commercial!J9</f>
        <v>122306</v>
      </c>
      <c r="L16" s="14" t="n">
        <f aca="false">H16</f>
        <v>146391</v>
      </c>
      <c r="M16" s="14" t="n">
        <f aca="false">J16</f>
        <v>122306</v>
      </c>
      <c r="N16" s="32" t="n">
        <f aca="false">M16/L16-1</f>
        <v>-0.164525141572911</v>
      </c>
      <c r="O16" s="2" t="s">
        <v>553</v>
      </c>
    </row>
    <row r="17" customFormat="false" ht="15" hidden="false" customHeight="false" outlineLevel="0" collapsed="false">
      <c r="B17" s="6" t="s">
        <v>133</v>
      </c>
      <c r="C17" s="6" t="s">
        <v>83</v>
      </c>
      <c r="D17" s="25" t="n">
        <f aca="false">Cash_Crosscheck!D12</f>
        <v>2216.980857</v>
      </c>
      <c r="E17" s="25" t="n">
        <f aca="false">Cash_Crosscheck!E12</f>
        <v>1756.448492</v>
      </c>
      <c r="F17" s="25" t="n">
        <f aca="false">Cash_Crosscheck!F12</f>
        <v>1117</v>
      </c>
      <c r="G17" s="25" t="n">
        <f aca="false">Cash_Crosscheck!G12</f>
        <v>2617.625833</v>
      </c>
      <c r="H17" s="25" t="n">
        <f aca="false">Cash_Crosscheck!H12</f>
        <v>393.99427</v>
      </c>
      <c r="I17" s="25" t="n">
        <f aca="false">Cash_Crosscheck!I12</f>
        <v>1117.121593</v>
      </c>
      <c r="J17" s="25" t="n">
        <f aca="false">Cash_Crosscheck!J12</f>
        <v>1020.244813</v>
      </c>
      <c r="L17" s="14" t="n">
        <f aca="false">H17</f>
        <v>393.99427</v>
      </c>
      <c r="M17" s="14" t="n">
        <f aca="false">J17</f>
        <v>1020.244813</v>
      </c>
      <c r="N17" s="26" t="n">
        <f aca="false">M17-L17</f>
        <v>626.250543</v>
      </c>
      <c r="O17" s="2" t="s">
        <v>553</v>
      </c>
    </row>
    <row r="18" customFormat="false" ht="15" hidden="false" customHeight="false" outlineLevel="0" collapsed="false">
      <c r="B18" s="6" t="s">
        <v>556</v>
      </c>
      <c r="C18" s="6" t="s">
        <v>106</v>
      </c>
      <c r="D18" s="27" t="n">
        <f aca="false">Cash_Crosscheck!D16</f>
        <v>0.117350246506458</v>
      </c>
      <c r="E18" s="27" t="n">
        <f aca="false">Cash_Crosscheck!E16</f>
        <v>0.0951643545538278</v>
      </c>
      <c r="F18" s="27" t="n">
        <f aca="false">Cash_Crosscheck!F16</f>
        <v>0.0631251766035603</v>
      </c>
      <c r="G18" s="27" t="n">
        <f aca="false">Cash_Crosscheck!G16</f>
        <v>0.139658850397482</v>
      </c>
      <c r="H18" s="27" t="n">
        <f aca="false">Cash_Crosscheck!H16</f>
        <v>0.0244140705167927</v>
      </c>
      <c r="I18" s="27" t="n">
        <f aca="false">Cash_Crosscheck!I16</f>
        <v>0.0696156037265533</v>
      </c>
      <c r="J18" s="27" t="n">
        <f aca="false">Cash_Crosscheck!J16</f>
        <v>0.067307350112152</v>
      </c>
      <c r="L18" s="28" t="n">
        <f aca="false">H18</f>
        <v>0.0244140705167927</v>
      </c>
      <c r="M18" s="28" t="n">
        <f aca="false">J18</f>
        <v>0.067307350112152</v>
      </c>
      <c r="N18" s="29" t="n">
        <f aca="false">(M18-L18)*100</f>
        <v>4.28932795953593</v>
      </c>
      <c r="O18" s="2" t="s">
        <v>557</v>
      </c>
    </row>
    <row r="19" customFormat="false" ht="15" hidden="false" customHeight="false" outlineLevel="0" collapsed="false">
      <c r="B19" s="2" t="s">
        <v>558</v>
      </c>
    </row>
    <row r="21" customFormat="false" ht="15" hidden="false" customHeight="false" outlineLevel="0" collapsed="false">
      <c r="A21" s="35" t="s">
        <v>559</v>
      </c>
      <c r="B21" s="36"/>
      <c r="C21" s="36"/>
      <c r="D21" s="36"/>
      <c r="E21" s="36"/>
      <c r="F21" s="36"/>
      <c r="G21" s="36"/>
      <c r="H21" s="36"/>
      <c r="I21" s="36"/>
      <c r="J21" s="36"/>
      <c r="K21" s="36"/>
      <c r="L21" s="36"/>
      <c r="M21" s="36"/>
      <c r="N21" s="36"/>
      <c r="O21" s="36"/>
    </row>
    <row r="22" customFormat="false" ht="27.75" hidden="false" customHeight="true" outlineLevel="0" collapsed="false">
      <c r="B22" s="37" t="str">
        <f aca="false">"1. Reported margin: "&amp;TEXT(EBIT_Analysis!H9,"0.0%")&amp;" (H1 2025) -&gt; "&amp;TEXT(EBIT_Analysis!J9,"0.0%")&amp;" (H1 2026), "&amp;TEXT(EBIT_Analysis!J26,"+0.0;-0.0")&amp;" pp; reported EBIT "&amp;TEXT(EBIT_Analysis!J25,"+#,##0;-#,##0")&amp;" EUR m."</f>
        <v>1. Reported margin: 5.5% (H1 2025) -&gt; 7.8% (H1 2026), +2.3 pp; reported EBIT +341 EUR m.</v>
      </c>
      <c r="C22" s="37"/>
      <c r="D22" s="37"/>
      <c r="E22" s="37"/>
      <c r="F22" s="37"/>
      <c r="G22" s="37"/>
      <c r="H22" s="37"/>
      <c r="I22" s="37"/>
      <c r="J22" s="37"/>
      <c r="K22" s="37"/>
      <c r="L22" s="37"/>
      <c r="M22" s="37"/>
      <c r="N22" s="37"/>
      <c r="O22" s="37"/>
    </row>
    <row r="23" customFormat="false" ht="27.75" hidden="false" customHeight="true" outlineLevel="0" collapsed="false">
      <c r="B23" s="37" t="str">
        <f aca="false">"2. Excluding disclosed realignment &amp; battery items (L1): "&amp;TEXT(EBIT_Analysis!H20,"0.0%")&amp;" -&gt; "&amp;TEXT(EBIT_Analysis!J20,"0.0%")&amp;" ("&amp;TEXT(EBIT_Analysis!J28,"+0.0;-0.0")&amp;" pp); L1 EBIT "&amp;TEXT(EBIT_Analysis!J27,"+#,##0;-#,##0")&amp;" EUR m."</f>
        <v>2. Excluding disclosed realignment &amp; battery items (L1): 9.4% -&gt; 8.4% (-1.0 pp); L1 EBIT -259 EUR m.</v>
      </c>
      <c r="C23" s="37"/>
      <c r="D23" s="37"/>
      <c r="E23" s="37"/>
      <c r="F23" s="37"/>
      <c r="G23" s="37"/>
      <c r="H23" s="37"/>
      <c r="I23" s="37"/>
      <c r="J23" s="37"/>
      <c r="K23" s="37"/>
      <c r="L23" s="37"/>
      <c r="M23" s="37"/>
      <c r="N23" s="37"/>
      <c r="O23" s="37"/>
    </row>
    <row r="24" customFormat="false" ht="27.75" hidden="false" customHeight="true" outlineLevel="0" collapsed="false">
      <c r="B24" s="37" t="str">
        <f aca="false">"3. Also excluding US tariffs (L2): "&amp;TEXT(EBIT_Analysis!H22,"0.0%")&amp;" -&gt; "&amp;TEXT(EBIT_Analysis!J22,"0.0%")&amp;" ("&amp;TEXT(EBIT_Analysis!J30,"+0.0;-0.0")&amp;" pp)."</f>
        <v>3. Also excluding US tariffs (L2): 11.6% -&gt; 10.7% (-0.9 pp).</v>
      </c>
      <c r="C24" s="37"/>
      <c r="D24" s="37"/>
      <c r="E24" s="37"/>
      <c r="F24" s="37"/>
      <c r="G24" s="37"/>
      <c r="H24" s="37"/>
      <c r="I24" s="37"/>
      <c r="J24" s="37"/>
      <c r="K24" s="37"/>
      <c r="L24" s="37"/>
      <c r="M24" s="37"/>
      <c r="N24" s="37"/>
      <c r="O24" s="37"/>
    </row>
    <row r="25" customFormat="false" ht="27.75" hidden="false" customHeight="true" outlineLevel="0" collapsed="false">
      <c r="B25" s="37" t="str">
        <f aca="false">"4. Of the "&amp;TEXT(EBIT_Analysis!J40,"+#,##0;-#,##0")&amp;" EUR m change in reported EBIT, lower exceptional items contributed "&amp;TEXT(EBIT_Analysis!J41,"+#,##0;-#,##0")&amp;" EUR m; residual / other EBIT drivers "&amp;TEXT(EBIT_Analysis!J46,"+#,##0;-#,##0")&amp;" EUR m."</f>
        <v>4. Of the +341 EUR m change in reported EBIT, lower exceptional items contributed +600 EUR m; residual / other EBIT drivers -140 EUR m.</v>
      </c>
      <c r="C25" s="37"/>
      <c r="D25" s="37"/>
      <c r="E25" s="37"/>
      <c r="F25" s="37"/>
      <c r="G25" s="37"/>
      <c r="H25" s="37"/>
      <c r="I25" s="37"/>
      <c r="J25" s="37"/>
      <c r="K25" s="37"/>
      <c r="L25" s="37"/>
      <c r="M25" s="37"/>
      <c r="N25" s="37"/>
      <c r="O25" s="37"/>
    </row>
    <row r="26" customFormat="false" ht="27.75" hidden="false" customHeight="true" outlineLevel="0" collapsed="false">
      <c r="B26" s="37" t="str">
        <f aca="false">"5. ASP "&amp;TEXT(Commercial!J11,"0.0")&amp;" EUR k ("&amp;TEXT(Commercial!J18,"+0.0%;-0.0%")&amp;"), vehicle sales "&amp;TEXT(Commercial!J17,"+0.0%;-0.0%")&amp;": volume effect "&amp;TEXT(Commercial!J20,"+#,##0;-#,##0")&amp;" vs ASP effect "&amp;TEXT(Commercial!J21,"+#,##0;-#,##0")&amp;" EUR m."</f>
        <v>5. ASP 125.8 EUR k (+5.3%), vehicle sales -10.8%: volume effect -1,748 vs ASP effect +768 EUR m.</v>
      </c>
      <c r="C26" s="37"/>
      <c r="D26" s="37"/>
      <c r="E26" s="37"/>
      <c r="F26" s="37"/>
      <c r="G26" s="37"/>
      <c r="H26" s="37"/>
      <c r="I26" s="37"/>
      <c r="J26" s="37"/>
      <c r="K26" s="37"/>
      <c r="L26" s="37"/>
      <c r="M26" s="37"/>
      <c r="N26" s="37"/>
      <c r="O26" s="37"/>
    </row>
    <row r="27" customFormat="false" ht="27.75" hidden="false" customHeight="true" outlineLevel="0" collapsed="false">
      <c r="B27" s="37" t="str">
        <f aca="false">"6. Guidance scenario combinations (not forecasts) imply an H2 2026 reported margin of "&amp;TEXT(Guidance_Scenarios!C79,"0.0%")&amp;"-"&amp;TEXT(Guidance_Scenarios!E79,"0.0%")&amp;" (all midpoints "&amp;TEXT(Guidance_Scenarios!D79,"0.0%")&amp;") and an L1 margin of "&amp;TEXT(Guidance_Scenarios!C80,"0.0%")&amp;"-"&amp;TEXT(Guidance_Scenarios!E80,"0.0%")&amp;" (midpoints "&amp;TEXT(Guidance_Scenarios!D80,"0.0%")&amp;") vs "&amp;TEXT(EBIT_Analysis!J20,"0.0%")&amp;" in H1 2026."</f>
        <v>6. Guidance scenario combinations (not forecasts) imply an H2 2026 reported margin of 3.2%-7.2% (all midpoints 5.3%) and an L1 margin of 7.1%-11.7% (midpoints 9.4%) vs 8.4% in H1 2026.</v>
      </c>
      <c r="C27" s="37"/>
      <c r="D27" s="37"/>
      <c r="E27" s="37"/>
      <c r="F27" s="37"/>
      <c r="G27" s="37"/>
      <c r="H27" s="37"/>
      <c r="I27" s="37"/>
      <c r="J27" s="37"/>
      <c r="K27" s="37"/>
      <c r="L27" s="37"/>
      <c r="M27" s="37"/>
      <c r="N27" s="37"/>
      <c r="O27" s="37"/>
    </row>
    <row r="28" customFormat="false" ht="27.75" hidden="false" customHeight="true" outlineLevel="0" collapsed="false">
      <c r="B28" s="37" t="str">
        <f aca="false">"Model status: "&amp;IF(COUNTIF(Audit_Checks!$H$7:$H$56,"FAIL")=0,"ALL "&amp;COUNTA(Audit_Checks!$H$7:$H$56)&amp;" CHECKS PASS",COUNTIF(Audit_Checks!$H$7:$H$56,"FAIL")&amp;" OF "&amp;COUNTA(Audit_Checks!$H$7:$H$56)&amp;" CHECK(S) FAIL - see Audit_Checks")</f>
        <v>Model status: ALL 50 CHECKS PASS</v>
      </c>
      <c r="C28" s="37"/>
      <c r="D28" s="37"/>
      <c r="E28" s="37"/>
      <c r="F28" s="37"/>
      <c r="G28" s="37"/>
      <c r="H28" s="37"/>
      <c r="I28" s="37"/>
      <c r="J28" s="37"/>
      <c r="K28" s="37"/>
      <c r="L28" s="37"/>
      <c r="M28" s="37"/>
      <c r="N28" s="37"/>
      <c r="O28" s="37"/>
    </row>
    <row r="31" customFormat="false" ht="15" hidden="false" customHeight="false" outlineLevel="0" collapsed="false">
      <c r="B31" s="16" t="s">
        <v>560</v>
      </c>
    </row>
    <row r="32" customFormat="false" ht="15" hidden="false" customHeight="false" outlineLevel="0" collapsed="false">
      <c r="B32" s="6" t="s">
        <v>561</v>
      </c>
      <c r="D32" s="38" t="n">
        <f aca="false">EBIT_Analysis!J41</f>
        <v>600</v>
      </c>
    </row>
    <row r="33" customFormat="false" ht="15" hidden="false" customHeight="false" outlineLevel="0" collapsed="false">
      <c r="B33" s="6" t="s">
        <v>562</v>
      </c>
      <c r="D33" s="38" t="n">
        <f aca="false">EBIT_Analysis!J42</f>
        <v>-0</v>
      </c>
    </row>
    <row r="34" customFormat="false" ht="15" hidden="false" customHeight="false" outlineLevel="0" collapsed="false">
      <c r="B34" s="6" t="s">
        <v>563</v>
      </c>
      <c r="D34" s="38" t="n">
        <f aca="false">EBIT_Analysis!J43</f>
        <v>-88</v>
      </c>
    </row>
    <row r="35" customFormat="false" ht="15" hidden="false" customHeight="false" outlineLevel="0" collapsed="false">
      <c r="B35" s="6" t="s">
        <v>564</v>
      </c>
      <c r="D35" s="38" t="n">
        <f aca="false">EBIT_Analysis!J44</f>
        <v>-37</v>
      </c>
    </row>
    <row r="36" customFormat="false" ht="15" hidden="false" customHeight="false" outlineLevel="0" collapsed="false">
      <c r="B36" s="6" t="s">
        <v>565</v>
      </c>
      <c r="D36" s="38" t="n">
        <f aca="false">EBIT_Analysis!J45</f>
        <v>6</v>
      </c>
    </row>
    <row r="37" customFormat="false" ht="15" hidden="false" customHeight="false" outlineLevel="0" collapsed="false">
      <c r="B37" s="6" t="s">
        <v>566</v>
      </c>
      <c r="D37" s="38" t="n">
        <f aca="false">EBIT_Analysis!J46</f>
        <v>-139.606248</v>
      </c>
    </row>
    <row r="38" customFormat="false" ht="15" hidden="false" customHeight="false" outlineLevel="0" collapsed="false">
      <c r="B38" s="6" t="s">
        <v>567</v>
      </c>
      <c r="D38" s="38" t="n">
        <f aca="false">EBIT_Analysis!J40</f>
        <v>341.393752</v>
      </c>
    </row>
  </sheetData>
  <mergeCells count="8">
    <mergeCell ref="A3:O3"/>
    <mergeCell ref="B22:O22"/>
    <mergeCell ref="B23:O23"/>
    <mergeCell ref="B24:O24"/>
    <mergeCell ref="B25:O25"/>
    <mergeCell ref="B26:O26"/>
    <mergeCell ref="B27:O27"/>
    <mergeCell ref="B28:O28"/>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472C4"/>
    <pageSetUpPr fitToPage="true"/>
  </sheetPr>
  <dimension ref="A1:K65"/>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52"/>
    <col collapsed="false" customWidth="true" hidden="false" outlineLevel="0" max="3" min="3" style="0" width="8"/>
    <col collapsed="false" customWidth="true" hidden="false" outlineLevel="0" max="10" min="4" style="0" width="12"/>
    <col collapsed="false" customWidth="true" hidden="false" outlineLevel="0" max="11" min="11" style="0" width="70"/>
  </cols>
  <sheetData>
    <row r="1" customFormat="false" ht="17.35" hidden="false" customHeight="false" outlineLevel="0" collapsed="false">
      <c r="A1" s="1" t="s">
        <v>568</v>
      </c>
    </row>
    <row r="2" customFormat="false" ht="15" hidden="false" customHeight="false" outlineLevel="0" collapsed="false">
      <c r="A2" s="2" t="s">
        <v>569</v>
      </c>
    </row>
    <row r="3" customFormat="false" ht="15" hidden="false" customHeight="false" outlineLevel="0" collapsed="false">
      <c r="A3" s="3" t="s">
        <v>570</v>
      </c>
    </row>
    <row r="5" customFormat="false" ht="15" hidden="false" customHeight="false" outlineLevel="0" collapsed="false">
      <c r="A5" s="13" t="s">
        <v>571</v>
      </c>
      <c r="B5" s="13" t="s">
        <v>572</v>
      </c>
      <c r="C5" s="13" t="s">
        <v>573</v>
      </c>
      <c r="D5" s="13" t="str">
        <f aca="false">Data_Panel!D$5</f>
        <v>2023-H1</v>
      </c>
      <c r="E5" s="13" t="str">
        <f aca="false">Data_Panel!E$5</f>
        <v>2023-H2</v>
      </c>
      <c r="F5" s="13" t="str">
        <f aca="false">Data_Panel!F$5</f>
        <v>2024-H1</v>
      </c>
      <c r="G5" s="13" t="str">
        <f aca="false">Data_Panel!G$5</f>
        <v>2024-H2</v>
      </c>
      <c r="H5" s="13" t="str">
        <f aca="false">Data_Panel!H$5</f>
        <v>2025-H1</v>
      </c>
      <c r="I5" s="13" t="str">
        <f aca="false">Data_Panel!I$5</f>
        <v>2025-H2</v>
      </c>
      <c r="J5" s="13" t="str">
        <f aca="false">Data_Panel!J$5</f>
        <v>2026-H1</v>
      </c>
      <c r="K5" s="13" t="s">
        <v>574</v>
      </c>
    </row>
    <row r="6" customFormat="false" ht="15" hidden="false" customHeight="false" outlineLevel="0" collapsed="false">
      <c r="A6" s="35" t="s">
        <v>575</v>
      </c>
      <c r="B6" s="36"/>
      <c r="C6" s="36"/>
      <c r="D6" s="36"/>
      <c r="E6" s="36"/>
      <c r="F6" s="36"/>
      <c r="G6" s="36"/>
      <c r="H6" s="36"/>
      <c r="I6" s="36"/>
      <c r="J6" s="36"/>
      <c r="K6" s="36"/>
    </row>
    <row r="7" customFormat="false" ht="15" hidden="false" customHeight="false" outlineLevel="0" collapsed="false">
      <c r="A7" s="6" t="s">
        <v>576</v>
      </c>
      <c r="B7" s="6" t="s">
        <v>82</v>
      </c>
      <c r="C7" s="6" t="s">
        <v>83</v>
      </c>
      <c r="D7" s="25" t="n">
        <f aca="false">Data_Panel!D6</f>
        <v>20430.922514</v>
      </c>
      <c r="E7" s="25" t="n">
        <f aca="false">Data_Panel!E6</f>
        <v>20098.709794</v>
      </c>
      <c r="F7" s="25" t="n">
        <f aca="false">Data_Panel!F6</f>
        <v>19457.008656</v>
      </c>
      <c r="G7" s="25" t="n">
        <f aca="false">Data_Panel!G6</f>
        <v>20626.284337</v>
      </c>
      <c r="H7" s="25" t="n">
        <f aca="false">Data_Panel!H6</f>
        <v>18157.27498</v>
      </c>
      <c r="I7" s="25" t="n">
        <f aca="false">Data_Panel!I6</f>
        <v>18114.352911</v>
      </c>
      <c r="J7" s="25" t="n">
        <f aca="false">Data_Panel!J6</f>
        <v>17229.455528</v>
      </c>
      <c r="K7" s="39" t="s">
        <v>577</v>
      </c>
    </row>
    <row r="8" customFormat="false" ht="15" hidden="false" customHeight="false" outlineLevel="0" collapsed="false">
      <c r="A8" s="6" t="s">
        <v>578</v>
      </c>
      <c r="B8" s="3" t="s">
        <v>542</v>
      </c>
      <c r="C8" s="6" t="s">
        <v>83</v>
      </c>
      <c r="D8" s="40" t="n">
        <f aca="false">Data_Panel!D12</f>
        <v>3852.235213</v>
      </c>
      <c r="E8" s="40" t="n">
        <f aca="false">Data_Panel!E12</f>
        <v>3432.07241</v>
      </c>
      <c r="F8" s="40" t="n">
        <f aca="false">Data_Panel!F12</f>
        <v>3061.455452</v>
      </c>
      <c r="G8" s="40" t="n">
        <f aca="false">Data_Panel!G12</f>
        <v>2575.43719</v>
      </c>
      <c r="H8" s="40" t="n">
        <f aca="false">Data_Panel!H12</f>
        <v>1006.791297</v>
      </c>
      <c r="I8" s="40" t="n">
        <f aca="false">Data_Panel!I12</f>
        <v>-593.507328</v>
      </c>
      <c r="J8" s="40" t="n">
        <f aca="false">Data_Panel!J12</f>
        <v>1348.185049</v>
      </c>
      <c r="K8" s="39" t="s">
        <v>579</v>
      </c>
    </row>
    <row r="9" customFormat="false" ht="15" hidden="false" customHeight="false" outlineLevel="0" collapsed="false">
      <c r="A9" s="6" t="s">
        <v>580</v>
      </c>
      <c r="B9" s="3" t="s">
        <v>581</v>
      </c>
      <c r="C9" s="6" t="s">
        <v>106</v>
      </c>
      <c r="D9" s="32" t="n">
        <f aca="false">D8/D7</f>
        <v>0.188549254707432</v>
      </c>
      <c r="E9" s="32" t="n">
        <f aca="false">E8/E7</f>
        <v>0.170760832171653</v>
      </c>
      <c r="F9" s="32" t="n">
        <f aca="false">F8/F7</f>
        <v>0.157344610681248</v>
      </c>
      <c r="G9" s="32" t="n">
        <f aca="false">G8/G7</f>
        <v>0.124861906677981</v>
      </c>
      <c r="H9" s="32" t="n">
        <f aca="false">H8/H7</f>
        <v>0.0554483697641286</v>
      </c>
      <c r="I9" s="32" t="n">
        <f aca="false">I8/I7</f>
        <v>-0.0327644785831456</v>
      </c>
      <c r="J9" s="32" t="n">
        <f aca="false">J8/J7</f>
        <v>0.0782488481315636</v>
      </c>
      <c r="K9" s="39" t="s">
        <v>582</v>
      </c>
    </row>
    <row r="10" customFormat="false" ht="23.85" hidden="false" customHeight="false" outlineLevel="0" collapsed="false">
      <c r="A10" s="6" t="s">
        <v>583</v>
      </c>
      <c r="B10" s="6" t="s">
        <v>584</v>
      </c>
      <c r="C10" s="6" t="s">
        <v>106</v>
      </c>
      <c r="F10" s="41" t="n">
        <v>0.157</v>
      </c>
      <c r="H10" s="41" t="n">
        <v>0.055</v>
      </c>
      <c r="J10" s="41" t="n">
        <v>0.078</v>
      </c>
      <c r="K10" s="39" t="s">
        <v>585</v>
      </c>
    </row>
    <row r="11" customFormat="false" ht="15" hidden="false" customHeight="false" outlineLevel="0" collapsed="false">
      <c r="A11" s="6" t="s">
        <v>586</v>
      </c>
      <c r="B11" s="6" t="s">
        <v>587</v>
      </c>
      <c r="C11" s="6" t="s">
        <v>470</v>
      </c>
      <c r="D11" s="42" t="n">
        <f aca="false">IF(D10="",0,(D9-D10)*100)</f>
        <v>0</v>
      </c>
      <c r="E11" s="42" t="n">
        <f aca="false">IF(E10="",0,(E9-E10)*100)</f>
        <v>0</v>
      </c>
      <c r="F11" s="42" t="n">
        <f aca="false">IF(F10="",0,(F9-F10)*100)</f>
        <v>0.0344610681248386</v>
      </c>
      <c r="G11" s="42" t="n">
        <f aca="false">IF(G10="",0,(G9-G10)*100)</f>
        <v>0</v>
      </c>
      <c r="H11" s="42" t="n">
        <f aca="false">IF(H10="",0,(H9-H10)*100)</f>
        <v>0.0448369764128563</v>
      </c>
      <c r="I11" s="42" t="n">
        <f aca="false">IF(I10="",0,(I9-I10)*100)</f>
        <v>0</v>
      </c>
      <c r="J11" s="42" t="n">
        <f aca="false">IF(J10="",0,(J9-J10)*100)</f>
        <v>0.0248848131563548</v>
      </c>
      <c r="K11" s="39" t="s">
        <v>588</v>
      </c>
    </row>
    <row r="12" customFormat="false" ht="15" hidden="false" customHeight="false" outlineLevel="0" collapsed="false">
      <c r="A12" s="35" t="s">
        <v>589</v>
      </c>
      <c r="B12" s="36"/>
      <c r="C12" s="36"/>
      <c r="D12" s="36"/>
      <c r="E12" s="36"/>
      <c r="F12" s="36"/>
      <c r="G12" s="36"/>
      <c r="H12" s="36"/>
      <c r="I12" s="36"/>
      <c r="J12" s="36"/>
      <c r="K12" s="36"/>
    </row>
    <row r="13" customFormat="false" ht="23.85" hidden="false" customHeight="false" outlineLevel="0" collapsed="false">
      <c r="A13" s="6" t="s">
        <v>590</v>
      </c>
      <c r="B13" s="6" t="s">
        <v>591</v>
      </c>
      <c r="C13" s="6" t="s">
        <v>83</v>
      </c>
      <c r="D13" s="14" t="n">
        <f aca="false">IF(Data_Panel!D31="",0,Data_Panel!D31)</f>
        <v>0</v>
      </c>
      <c r="E13" s="14" t="n">
        <f aca="false">IF(Data_Panel!E31="",0,Data_Panel!E31)</f>
        <v>0</v>
      </c>
      <c r="F13" s="14" t="n">
        <f aca="false">IF(Data_Panel!F31="",0,Data_Panel!F31)</f>
        <v>0</v>
      </c>
      <c r="G13" s="14" t="n">
        <f aca="false">IF(Data_Panel!G31="",0,Data_Panel!G31)</f>
        <v>0</v>
      </c>
      <c r="H13" s="14" t="n">
        <f aca="false">IF(Data_Panel!H31="",0,Data_Panel!H31)</f>
        <v>700</v>
      </c>
      <c r="I13" s="14" t="n">
        <f aca="false">IF(Data_Panel!I31="",0,Data_Panel!I31)</f>
        <v>2400</v>
      </c>
      <c r="J13" s="14" t="n">
        <f aca="false">IF(Data_Panel!J31="",0,Data_Panel!J31)</f>
        <v>100</v>
      </c>
      <c r="K13" s="39" t="s">
        <v>592</v>
      </c>
    </row>
    <row r="14" customFormat="false" ht="15" hidden="false" customHeight="false" outlineLevel="0" collapsed="false">
      <c r="A14" s="6"/>
      <c r="B14" s="6" t="s">
        <v>593</v>
      </c>
      <c r="C14" s="6"/>
      <c r="D14" s="43" t="str">
        <f aca="false">IF(Data_Panel!D31="","A-01: none disclosed -&gt; 0","disclosed")</f>
        <v>A-01: none disclosed -&gt; 0</v>
      </c>
      <c r="E14" s="43" t="str">
        <f aca="false">IF(Data_Panel!E31="","A-01: none disclosed -&gt; 0","disclosed")</f>
        <v>A-01: none disclosed -&gt; 0</v>
      </c>
      <c r="F14" s="43" t="str">
        <f aca="false">IF(Data_Panel!F31="","A-01: none disclosed -&gt; 0","disclosed")</f>
        <v>A-01: none disclosed -&gt; 0</v>
      </c>
      <c r="G14" s="43" t="str">
        <f aca="false">IF(Data_Panel!G31="","A-01: none disclosed -&gt; 0","disclosed")</f>
        <v>A-01: none disclosed -&gt; 0</v>
      </c>
      <c r="H14" s="43" t="str">
        <f aca="false">IF(Data_Panel!H31="","A-01: none disclosed -&gt; 0","disclosed")</f>
        <v>disclosed</v>
      </c>
      <c r="I14" s="43" t="str">
        <f aca="false">IF(Data_Panel!I31="","A-01: none disclosed -&gt; 0","disclosed")</f>
        <v>disclosed</v>
      </c>
      <c r="J14" s="43" t="str">
        <f aca="false">IF(Data_Panel!J31="","A-01: none disclosed -&gt; 0","disclosed")</f>
        <v>disclosed</v>
      </c>
    </row>
    <row r="15" customFormat="false" ht="15" hidden="false" customHeight="false" outlineLevel="0" collapsed="false">
      <c r="A15" s="6" t="s">
        <v>594</v>
      </c>
      <c r="B15" s="6" t="s">
        <v>595</v>
      </c>
      <c r="C15" s="6" t="s">
        <v>83</v>
      </c>
      <c r="D15" s="14" t="n">
        <f aca="false">IF(Data_Panel!D33="",0,Data_Panel!D33)</f>
        <v>0</v>
      </c>
      <c r="E15" s="14" t="n">
        <f aca="false">IF(Data_Panel!E33="",0,Data_Panel!E33)</f>
        <v>0</v>
      </c>
      <c r="F15" s="14" t="n">
        <f aca="false">IF(Data_Panel!F33="",0,Data_Panel!F33)</f>
        <v>0</v>
      </c>
      <c r="G15" s="14" t="n">
        <f aca="false">IF(Data_Panel!G33="",0,Data_Panel!G33)</f>
        <v>0</v>
      </c>
      <c r="H15" s="14" t="n">
        <f aca="false">IF(Data_Panel!H33="",0,Data_Panel!H33)</f>
        <v>400</v>
      </c>
      <c r="I15" s="14" t="n">
        <f aca="false">IF(Data_Panel!I33="",0,Data_Panel!I33)</f>
        <v>300</v>
      </c>
      <c r="J15" s="14" t="n">
        <f aca="false">IF(Data_Panel!J33="",0,Data_Panel!J33)</f>
        <v>400</v>
      </c>
      <c r="K15" s="39" t="s">
        <v>596</v>
      </c>
    </row>
    <row r="16" customFormat="false" ht="15" hidden="false" customHeight="false" outlineLevel="0" collapsed="false">
      <c r="A16" s="6"/>
      <c r="B16" s="6" t="s">
        <v>593</v>
      </c>
      <c r="C16" s="6"/>
      <c r="D16" s="43" t="str">
        <f aca="false">IF(Data_Panel!D33="","A-02: none before Apr 2025 -&gt; 0","disclosed")</f>
        <v>A-02: none before Apr 2025 -&gt; 0</v>
      </c>
      <c r="E16" s="43" t="str">
        <f aca="false">IF(Data_Panel!E33="","A-02: none before Apr 2025 -&gt; 0","disclosed")</f>
        <v>A-02: none before Apr 2025 -&gt; 0</v>
      </c>
      <c r="F16" s="43" t="str">
        <f aca="false">IF(Data_Panel!F33="","A-02: none before Apr 2025 -&gt; 0","disclosed")</f>
        <v>A-02: none before Apr 2025 -&gt; 0</v>
      </c>
      <c r="G16" s="43" t="str">
        <f aca="false">IF(Data_Panel!G33="","A-02: none before Apr 2025 -&gt; 0","disclosed")</f>
        <v>A-02: none before Apr 2025 -&gt; 0</v>
      </c>
      <c r="H16" s="43" t="str">
        <f aca="false">IF(Data_Panel!H33="","A-02: none before Apr 2025 -&gt; 0","disclosed")</f>
        <v>disclosed</v>
      </c>
      <c r="I16" s="43" t="str">
        <f aca="false">IF(Data_Panel!I33="","A-02: none before Apr 2025 -&gt; 0","disclosed")</f>
        <v>disclosed</v>
      </c>
      <c r="J16" s="43" t="str">
        <f aca="false">IF(Data_Panel!J33="","A-02: none before Apr 2025 -&gt; 0","disclosed")</f>
        <v>disclosed</v>
      </c>
    </row>
    <row r="17" customFormat="false" ht="30" hidden="false" customHeight="true" outlineLevel="0" collapsed="false">
      <c r="A17" s="44" t="s">
        <v>597</v>
      </c>
      <c r="B17" s="44"/>
      <c r="C17" s="44"/>
      <c r="D17" s="44"/>
      <c r="E17" s="44"/>
      <c r="F17" s="44"/>
      <c r="G17" s="44"/>
      <c r="H17" s="44"/>
      <c r="I17" s="44"/>
      <c r="J17" s="44"/>
      <c r="K17" s="44"/>
    </row>
    <row r="18" customFormat="false" ht="15" hidden="false" customHeight="false" outlineLevel="0" collapsed="false">
      <c r="A18" s="35" t="s">
        <v>598</v>
      </c>
      <c r="B18" s="36"/>
      <c r="C18" s="36"/>
      <c r="D18" s="36"/>
      <c r="E18" s="36"/>
      <c r="F18" s="36"/>
      <c r="G18" s="36"/>
      <c r="H18" s="36"/>
      <c r="I18" s="36"/>
      <c r="J18" s="36"/>
      <c r="K18" s="36"/>
    </row>
    <row r="19" customFormat="false" ht="15" hidden="false" customHeight="false" outlineLevel="0" collapsed="false">
      <c r="A19" s="45" t="s">
        <v>599</v>
      </c>
      <c r="B19" s="46" t="s">
        <v>546</v>
      </c>
      <c r="C19" s="45" t="s">
        <v>83</v>
      </c>
      <c r="D19" s="47" t="n">
        <f aca="false">D8+D13</f>
        <v>3852.235213</v>
      </c>
      <c r="E19" s="47" t="n">
        <f aca="false">E8+E13</f>
        <v>3432.07241</v>
      </c>
      <c r="F19" s="47" t="n">
        <f aca="false">F8+F13</f>
        <v>3061.455452</v>
      </c>
      <c r="G19" s="47" t="n">
        <f aca="false">G8+G13</f>
        <v>2575.43719</v>
      </c>
      <c r="H19" s="47" t="n">
        <f aca="false">H8+H13</f>
        <v>1706.791297</v>
      </c>
      <c r="I19" s="47" t="n">
        <f aca="false">I8+I13</f>
        <v>1806.492672</v>
      </c>
      <c r="J19" s="47" t="n">
        <f aca="false">J8+J13</f>
        <v>1448.185049</v>
      </c>
      <c r="K19" s="39" t="s">
        <v>600</v>
      </c>
    </row>
    <row r="20" customFormat="false" ht="15" hidden="false" customHeight="false" outlineLevel="0" collapsed="false">
      <c r="A20" s="45" t="s">
        <v>601</v>
      </c>
      <c r="B20" s="46" t="s">
        <v>548</v>
      </c>
      <c r="C20" s="45" t="s">
        <v>106</v>
      </c>
      <c r="D20" s="48" t="n">
        <f aca="false">D19/D7</f>
        <v>0.188549254707432</v>
      </c>
      <c r="E20" s="48" t="n">
        <f aca="false">E19/E7</f>
        <v>0.170760832171653</v>
      </c>
      <c r="F20" s="48" t="n">
        <f aca="false">F19/F7</f>
        <v>0.157344610681248</v>
      </c>
      <c r="G20" s="48" t="n">
        <f aca="false">G19/G7</f>
        <v>0.124861906677981</v>
      </c>
      <c r="H20" s="48" t="n">
        <f aca="false">H19/H7</f>
        <v>0.0940004102421761</v>
      </c>
      <c r="I20" s="48" t="n">
        <f aca="false">I19/I7</f>
        <v>0.0997271434908945</v>
      </c>
      <c r="J20" s="48" t="n">
        <f aca="false">J19/J7</f>
        <v>0.0840528620678999</v>
      </c>
      <c r="K20" s="39" t="s">
        <v>602</v>
      </c>
    </row>
    <row r="21" customFormat="false" ht="15" hidden="false" customHeight="false" outlineLevel="0" collapsed="false">
      <c r="A21" s="45" t="s">
        <v>603</v>
      </c>
      <c r="B21" s="46" t="s">
        <v>604</v>
      </c>
      <c r="C21" s="45" t="s">
        <v>83</v>
      </c>
      <c r="D21" s="47" t="n">
        <f aca="false">D19+D15</f>
        <v>3852.235213</v>
      </c>
      <c r="E21" s="47" t="n">
        <f aca="false">E19+E15</f>
        <v>3432.07241</v>
      </c>
      <c r="F21" s="47" t="n">
        <f aca="false">F19+F15</f>
        <v>3061.455452</v>
      </c>
      <c r="G21" s="47" t="n">
        <f aca="false">G19+G15</f>
        <v>2575.43719</v>
      </c>
      <c r="H21" s="47" t="n">
        <f aca="false">H19+H15</f>
        <v>2106.791297</v>
      </c>
      <c r="I21" s="47" t="n">
        <f aca="false">I19+I15</f>
        <v>2106.492672</v>
      </c>
      <c r="J21" s="47" t="n">
        <f aca="false">J19+J15</f>
        <v>1848.185049</v>
      </c>
      <c r="K21" s="39" t="s">
        <v>605</v>
      </c>
    </row>
    <row r="22" customFormat="false" ht="15" hidden="false" customHeight="false" outlineLevel="0" collapsed="false">
      <c r="A22" s="45" t="s">
        <v>606</v>
      </c>
      <c r="B22" s="46" t="s">
        <v>550</v>
      </c>
      <c r="C22" s="45" t="s">
        <v>106</v>
      </c>
      <c r="D22" s="48" t="n">
        <f aca="false">D21/D7</f>
        <v>0.188549254707432</v>
      </c>
      <c r="E22" s="48" t="n">
        <f aca="false">E21/E7</f>
        <v>0.170760832171653</v>
      </c>
      <c r="F22" s="48" t="n">
        <f aca="false">F21/F7</f>
        <v>0.157344610681248</v>
      </c>
      <c r="G22" s="48" t="n">
        <f aca="false">G21/G7</f>
        <v>0.124861906677981</v>
      </c>
      <c r="H22" s="48" t="n">
        <f aca="false">H21/H7</f>
        <v>0.116030147658203</v>
      </c>
      <c r="I22" s="48" t="n">
        <f aca="false">I21/I7</f>
        <v>0.11628859625015</v>
      </c>
      <c r="J22" s="48" t="n">
        <f aca="false">J21/J7</f>
        <v>0.107268917813245</v>
      </c>
      <c r="K22" s="39" t="s">
        <v>607</v>
      </c>
    </row>
    <row r="23" customFormat="false" ht="15" hidden="false" customHeight="false" outlineLevel="0" collapsed="false">
      <c r="A23" s="6" t="s">
        <v>608</v>
      </c>
      <c r="B23" s="6" t="s">
        <v>609</v>
      </c>
      <c r="C23" s="6" t="s">
        <v>83</v>
      </c>
      <c r="D23" s="14" t="n">
        <f aca="false">(IF(Data_Panel!D31="",0,50)+IF(Data_Panel!D33="",0,50))*IF(RIGHT(D$5,2)="H2",2,1)</f>
        <v>0</v>
      </c>
      <c r="E23" s="14" t="n">
        <f aca="false">(IF(Data_Panel!E31="",0,50)+IF(Data_Panel!E33="",0,50))*IF(RIGHT(E$5,2)="H2",2,1)</f>
        <v>0</v>
      </c>
      <c r="F23" s="14" t="n">
        <f aca="false">(IF(Data_Panel!F31="",0,50)+IF(Data_Panel!F33="",0,50))*IF(RIGHT(F$5,2)="H2",2,1)</f>
        <v>0</v>
      </c>
      <c r="G23" s="14" t="n">
        <f aca="false">(IF(Data_Panel!G31="",0,50)+IF(Data_Panel!G33="",0,50))*IF(RIGHT(G$5,2)="H2",2,1)</f>
        <v>0</v>
      </c>
      <c r="H23" s="14" t="n">
        <f aca="false">(IF(Data_Panel!H31="",0,50)+IF(Data_Panel!H33="",0,50))*IF(RIGHT(H$5,2)="H2",2,1)</f>
        <v>100</v>
      </c>
      <c r="I23" s="14" t="n">
        <f aca="false">(IF(Data_Panel!I31="",0,50)+IF(Data_Panel!I33="",0,50))*IF(RIGHT(I$5,2)="H2",2,1)</f>
        <v>200</v>
      </c>
      <c r="J23" s="14" t="n">
        <f aca="false">(IF(Data_Panel!J31="",0,50)+IF(Data_Panel!J33="",0,50))*IF(RIGHT(J$5,2)="H2",2,1)</f>
        <v>100</v>
      </c>
      <c r="K23" s="39" t="s">
        <v>610</v>
      </c>
    </row>
    <row r="24" customFormat="false" ht="15" hidden="false" customHeight="false" outlineLevel="0" collapsed="false">
      <c r="A24" s="35" t="s">
        <v>611</v>
      </c>
      <c r="B24" s="36"/>
      <c r="C24" s="36"/>
      <c r="D24" s="36"/>
      <c r="E24" s="36"/>
      <c r="F24" s="36"/>
      <c r="G24" s="36"/>
      <c r="H24" s="36"/>
      <c r="I24" s="36"/>
      <c r="J24" s="36"/>
      <c r="K24" s="36"/>
    </row>
    <row r="25" customFormat="false" ht="15" hidden="false" customHeight="false" outlineLevel="0" collapsed="false">
      <c r="A25" s="6" t="s">
        <v>612</v>
      </c>
      <c r="B25" s="6" t="s">
        <v>613</v>
      </c>
      <c r="C25" s="6" t="s">
        <v>83</v>
      </c>
      <c r="F25" s="14" t="n">
        <f aca="false">F8-D8</f>
        <v>-790.779761</v>
      </c>
      <c r="G25" s="14" t="n">
        <f aca="false">G8-E8</f>
        <v>-856.63522</v>
      </c>
      <c r="H25" s="14" t="n">
        <f aca="false">H8-F8</f>
        <v>-2054.664155</v>
      </c>
      <c r="I25" s="14" t="n">
        <f aca="false">I8-G8</f>
        <v>-3168.944518</v>
      </c>
      <c r="J25" s="14" t="n">
        <f aca="false">J8-H8</f>
        <v>341.393752</v>
      </c>
    </row>
    <row r="26" customFormat="false" ht="15" hidden="false" customHeight="false" outlineLevel="0" collapsed="false">
      <c r="A26" s="6" t="s">
        <v>614</v>
      </c>
      <c r="B26" s="6" t="s">
        <v>615</v>
      </c>
      <c r="C26" s="6" t="s">
        <v>470</v>
      </c>
      <c r="F26" s="42" t="n">
        <f aca="false">(F9-D9)*100</f>
        <v>-3.12046440261839</v>
      </c>
      <c r="G26" s="42" t="n">
        <f aca="false">(G9-E9)*100</f>
        <v>-4.58989254936722</v>
      </c>
      <c r="H26" s="42" t="n">
        <f aca="false">(H9-F9)*100</f>
        <v>-10.189624091712</v>
      </c>
      <c r="I26" s="42" t="n">
        <f aca="false">(I9-G9)*100</f>
        <v>-15.7626385261127</v>
      </c>
      <c r="J26" s="42" t="n">
        <f aca="false">(J9-H9)*100</f>
        <v>2.2800478367435</v>
      </c>
    </row>
    <row r="27" customFormat="false" ht="15" hidden="false" customHeight="false" outlineLevel="0" collapsed="false">
      <c r="A27" s="6" t="s">
        <v>616</v>
      </c>
      <c r="B27" s="3" t="s">
        <v>617</v>
      </c>
      <c r="C27" s="6" t="s">
        <v>83</v>
      </c>
      <c r="F27" s="26" t="n">
        <f aca="false">F19-D19</f>
        <v>-790.779761</v>
      </c>
      <c r="G27" s="26" t="n">
        <f aca="false">G19-E19</f>
        <v>-856.63522</v>
      </c>
      <c r="H27" s="26" t="n">
        <f aca="false">H19-F19</f>
        <v>-1354.664155</v>
      </c>
      <c r="I27" s="26" t="n">
        <f aca="false">I19-G19</f>
        <v>-768.944518</v>
      </c>
      <c r="J27" s="26" t="n">
        <f aca="false">J19-H19</f>
        <v>-258.606248</v>
      </c>
    </row>
    <row r="28" customFormat="false" ht="15" hidden="false" customHeight="false" outlineLevel="0" collapsed="false">
      <c r="A28" s="6" t="s">
        <v>618</v>
      </c>
      <c r="B28" s="3" t="s">
        <v>619</v>
      </c>
      <c r="C28" s="6" t="s">
        <v>470</v>
      </c>
      <c r="F28" s="29" t="n">
        <f aca="false">(F20-D20)*100</f>
        <v>-3.12046440261839</v>
      </c>
      <c r="G28" s="29" t="n">
        <f aca="false">(G20-E20)*100</f>
        <v>-4.58989254936722</v>
      </c>
      <c r="H28" s="29" t="n">
        <f aca="false">(H20-F20)*100</f>
        <v>-6.33442004390723</v>
      </c>
      <c r="I28" s="29" t="n">
        <f aca="false">(I20-G20)*100</f>
        <v>-2.51347631870867</v>
      </c>
      <c r="J28" s="29" t="n">
        <f aca="false">(J20-H20)*100</f>
        <v>-0.994754817427618</v>
      </c>
    </row>
    <row r="29" customFormat="false" ht="15" hidden="false" customHeight="false" outlineLevel="0" collapsed="false">
      <c r="A29" s="6" t="s">
        <v>620</v>
      </c>
      <c r="B29" s="6" t="s">
        <v>621</v>
      </c>
      <c r="C29" s="6" t="s">
        <v>83</v>
      </c>
      <c r="F29" s="14" t="n">
        <f aca="false">F21-D21</f>
        <v>-790.779761</v>
      </c>
      <c r="G29" s="14" t="n">
        <f aca="false">G21-E21</f>
        <v>-856.63522</v>
      </c>
      <c r="H29" s="14" t="n">
        <f aca="false">H21-F21</f>
        <v>-954.664155</v>
      </c>
      <c r="I29" s="14" t="n">
        <f aca="false">I21-G21</f>
        <v>-468.944518</v>
      </c>
      <c r="J29" s="14" t="n">
        <f aca="false">J21-H21</f>
        <v>-258.606248</v>
      </c>
    </row>
    <row r="30" customFormat="false" ht="15" hidden="false" customHeight="false" outlineLevel="0" collapsed="false">
      <c r="A30" s="6" t="s">
        <v>622</v>
      </c>
      <c r="B30" s="6" t="s">
        <v>623</v>
      </c>
      <c r="C30" s="6" t="s">
        <v>470</v>
      </c>
      <c r="F30" s="42" t="n">
        <f aca="false">(F22-D22)*100</f>
        <v>-3.12046440261839</v>
      </c>
      <c r="G30" s="42" t="n">
        <f aca="false">(G22-E22)*100</f>
        <v>-4.58989254936722</v>
      </c>
      <c r="H30" s="42" t="n">
        <f aca="false">(H22-F22)*100</f>
        <v>-4.13144630230451</v>
      </c>
      <c r="I30" s="42" t="n">
        <f aca="false">(I22-G22)*100</f>
        <v>-0.857331042783172</v>
      </c>
      <c r="J30" s="42" t="n">
        <f aca="false">(J22-H22)*100</f>
        <v>-0.876122984495779</v>
      </c>
    </row>
    <row r="31" customFormat="false" ht="15" hidden="false" customHeight="false" outlineLevel="0" collapsed="false">
      <c r="A31" s="49" t="s">
        <v>624</v>
      </c>
      <c r="B31" s="50"/>
      <c r="C31" s="50"/>
      <c r="D31" s="50"/>
      <c r="E31" s="50"/>
      <c r="F31" s="50"/>
      <c r="G31" s="50"/>
      <c r="H31" s="50"/>
      <c r="I31" s="50"/>
      <c r="J31" s="50"/>
      <c r="K31" s="50"/>
    </row>
    <row r="32" customFormat="false" ht="30" hidden="false" customHeight="true" outlineLevel="0" collapsed="false">
      <c r="A32" s="44" t="s">
        <v>625</v>
      </c>
      <c r="B32" s="44"/>
      <c r="C32" s="44"/>
      <c r="D32" s="44"/>
      <c r="E32" s="44"/>
      <c r="F32" s="44"/>
      <c r="G32" s="44"/>
      <c r="H32" s="44"/>
      <c r="I32" s="44"/>
      <c r="J32" s="44"/>
      <c r="K32" s="44"/>
    </row>
    <row r="33" customFormat="false" ht="15" hidden="false" customHeight="false" outlineLevel="0" collapsed="false">
      <c r="A33" s="11" t="s">
        <v>626</v>
      </c>
      <c r="B33" s="11" t="s">
        <v>627</v>
      </c>
      <c r="C33" s="11" t="s">
        <v>83</v>
      </c>
      <c r="D33" s="51" t="n">
        <f aca="false">RD_DA!D34</f>
        <v>1176</v>
      </c>
      <c r="E33" s="51" t="n">
        <f aca="false">RD_DA!E34</f>
        <v>1478</v>
      </c>
      <c r="F33" s="51" t="n">
        <f aca="false">RD_DA!F34</f>
        <v>1364</v>
      </c>
      <c r="G33" s="51" t="n">
        <f aca="false">RD_DA!G34</f>
        <v>1618</v>
      </c>
      <c r="H33" s="51" t="n">
        <f aca="false">RD_DA!H34</f>
        <v>1461</v>
      </c>
      <c r="I33" s="51" t="n">
        <f aca="false">RD_DA!I34</f>
        <v>1536</v>
      </c>
      <c r="J33" s="51" t="n">
        <f aca="false">RD_DA!J34</f>
        <v>1498</v>
      </c>
    </row>
    <row r="34" customFormat="false" ht="15" hidden="false" customHeight="false" outlineLevel="0" collapsed="false">
      <c r="A34" s="11" t="s">
        <v>628</v>
      </c>
      <c r="B34" s="11" t="s">
        <v>112</v>
      </c>
      <c r="C34" s="11" t="s">
        <v>83</v>
      </c>
      <c r="D34" s="51" t="n">
        <f aca="false">Data_Panel!D18</f>
        <v>1201</v>
      </c>
      <c r="E34" s="51" t="n">
        <f aca="false">Data_Panel!E18</f>
        <v>880</v>
      </c>
      <c r="F34" s="51" t="n">
        <f aca="false">Data_Panel!F18</f>
        <v>1123</v>
      </c>
      <c r="G34" s="51" t="n">
        <f aca="false">Data_Panel!G18</f>
        <v>460</v>
      </c>
      <c r="H34" s="51" t="n">
        <f aca="false">Data_Panel!H18</f>
        <v>575</v>
      </c>
      <c r="I34" s="51" t="n">
        <f aca="false">Data_Panel!I18</f>
        <v>388</v>
      </c>
      <c r="J34" s="51" t="n">
        <f aca="false">Data_Panel!J18</f>
        <v>487</v>
      </c>
    </row>
    <row r="35" customFormat="false" ht="15" hidden="false" customHeight="false" outlineLevel="0" collapsed="false">
      <c r="A35" s="11" t="s">
        <v>629</v>
      </c>
      <c r="B35" s="11" t="s">
        <v>630</v>
      </c>
      <c r="C35" s="11" t="s">
        <v>83</v>
      </c>
      <c r="D35" s="52" t="n">
        <f aca="false">D19+D33-D34</f>
        <v>3827.235213</v>
      </c>
      <c r="E35" s="52" t="n">
        <f aca="false">E19+E33-E34</f>
        <v>4030.07241</v>
      </c>
      <c r="F35" s="52" t="n">
        <f aca="false">F19+F33-F34</f>
        <v>3302.455452</v>
      </c>
      <c r="G35" s="52" t="n">
        <f aca="false">G19+G33-G34</f>
        <v>3733.43719</v>
      </c>
      <c r="H35" s="52" t="n">
        <f aca="false">H19+H33-H34</f>
        <v>2592.791297</v>
      </c>
      <c r="I35" s="52" t="n">
        <f aca="false">I19+I33-I34</f>
        <v>2954.492672</v>
      </c>
      <c r="J35" s="52" t="n">
        <f aca="false">J19+J33-J34</f>
        <v>2459.185049</v>
      </c>
      <c r="K35" s="39" t="s">
        <v>631</v>
      </c>
    </row>
    <row r="36" customFormat="false" ht="15" hidden="false" customHeight="false" outlineLevel="0" collapsed="false">
      <c r="A36" s="11" t="s">
        <v>632</v>
      </c>
      <c r="B36" s="11" t="s">
        <v>633</v>
      </c>
      <c r="C36" s="11" t="s">
        <v>106</v>
      </c>
      <c r="D36" s="53" t="n">
        <f aca="false">D35/D7</f>
        <v>0.187325619309527</v>
      </c>
      <c r="E36" s="53" t="n">
        <f aca="false">E35/E7</f>
        <v>0.200513985788435</v>
      </c>
      <c r="F36" s="53" t="n">
        <f aca="false">F35/F7</f>
        <v>0.169730892882222</v>
      </c>
      <c r="G36" s="53" t="n">
        <f aca="false">G35/G7</f>
        <v>0.181003865214001</v>
      </c>
      <c r="H36" s="53" t="n">
        <f aca="false">H35/H7</f>
        <v>0.142796278618676</v>
      </c>
      <c r="I36" s="53" t="n">
        <f aca="false">I35/I7</f>
        <v>0.16310230271631</v>
      </c>
      <c r="J36" s="53" t="n">
        <f aca="false">J35/J7</f>
        <v>0.142731442964261</v>
      </c>
    </row>
    <row r="37" customFormat="false" ht="15" hidden="false" customHeight="false" outlineLevel="0" collapsed="false">
      <c r="A37" s="11" t="s">
        <v>634</v>
      </c>
      <c r="B37" s="11" t="s">
        <v>635</v>
      </c>
      <c r="C37" s="11" t="s">
        <v>83</v>
      </c>
      <c r="J37" s="52" t="n">
        <f aca="false">J35+RD_DA!J32</f>
        <v>2520.185049</v>
      </c>
    </row>
    <row r="38" customFormat="false" ht="15" hidden="false" customHeight="false" outlineLevel="0" collapsed="false">
      <c r="A38" s="35" t="s">
        <v>636</v>
      </c>
      <c r="B38" s="36"/>
      <c r="C38" s="36"/>
      <c r="D38" s="36"/>
      <c r="E38" s="36"/>
      <c r="F38" s="36"/>
      <c r="G38" s="36"/>
      <c r="H38" s="36"/>
      <c r="I38" s="36"/>
      <c r="J38" s="36"/>
      <c r="K38" s="36"/>
    </row>
    <row r="39" customFormat="false" ht="15" hidden="false" customHeight="false" outlineLevel="0" collapsed="false">
      <c r="A39" s="6" t="s">
        <v>637</v>
      </c>
      <c r="B39" s="6" t="s">
        <v>638</v>
      </c>
      <c r="C39" s="6" t="s">
        <v>83</v>
      </c>
      <c r="F39" s="14" t="n">
        <f aca="false">D8</f>
        <v>3852.235213</v>
      </c>
      <c r="G39" s="14" t="n">
        <f aca="false">E8</f>
        <v>3432.07241</v>
      </c>
      <c r="H39" s="14" t="n">
        <f aca="false">F8</f>
        <v>3061.455452</v>
      </c>
      <c r="I39" s="14" t="n">
        <f aca="false">G8</f>
        <v>2575.43719</v>
      </c>
      <c r="J39" s="14" t="n">
        <f aca="false">H8</f>
        <v>1006.791297</v>
      </c>
    </row>
    <row r="40" customFormat="false" ht="15" hidden="false" customHeight="false" outlineLevel="0" collapsed="false">
      <c r="A40" s="6" t="s">
        <v>639</v>
      </c>
      <c r="B40" s="3" t="s">
        <v>640</v>
      </c>
      <c r="C40" s="6" t="s">
        <v>83</v>
      </c>
      <c r="D40" s="26"/>
      <c r="E40" s="26"/>
      <c r="F40" s="26" t="n">
        <f aca="false">F8-F39</f>
        <v>-790.779761</v>
      </c>
      <c r="G40" s="26" t="n">
        <f aca="false">G8-G39</f>
        <v>-856.63522</v>
      </c>
      <c r="H40" s="26" t="n">
        <f aca="false">H8-H39</f>
        <v>-2054.664155</v>
      </c>
      <c r="I40" s="26" t="n">
        <f aca="false">I8-I39</f>
        <v>-3168.944518</v>
      </c>
      <c r="J40" s="26" t="n">
        <f aca="false">J8-J39</f>
        <v>341.393752</v>
      </c>
    </row>
    <row r="41" customFormat="false" ht="15" hidden="false" customHeight="false" outlineLevel="0" collapsed="false">
      <c r="A41" s="6" t="s">
        <v>641</v>
      </c>
      <c r="B41" s="6" t="s">
        <v>642</v>
      </c>
      <c r="C41" s="6" t="s">
        <v>83</v>
      </c>
      <c r="F41" s="14" t="n">
        <f aca="false">-(F13-D13)</f>
        <v>-0</v>
      </c>
      <c r="G41" s="14" t="n">
        <f aca="false">-(G13-E13)</f>
        <v>-0</v>
      </c>
      <c r="H41" s="14" t="n">
        <f aca="false">-(H13-F13)</f>
        <v>-700</v>
      </c>
      <c r="I41" s="14" t="n">
        <f aca="false">-(I13-G13)</f>
        <v>-2400</v>
      </c>
      <c r="J41" s="14" t="n">
        <f aca="false">-(J13-H13)</f>
        <v>600</v>
      </c>
      <c r="K41" s="39" t="s">
        <v>643</v>
      </c>
    </row>
    <row r="42" customFormat="false" ht="15" hidden="false" customHeight="false" outlineLevel="0" collapsed="false">
      <c r="A42" s="6" t="s">
        <v>644</v>
      </c>
      <c r="B42" s="6" t="s">
        <v>645</v>
      </c>
      <c r="C42" s="6" t="s">
        <v>83</v>
      </c>
      <c r="F42" s="14" t="n">
        <f aca="false">-(F15-D15)</f>
        <v>-0</v>
      </c>
      <c r="G42" s="14" t="n">
        <f aca="false">-(G15-E15)</f>
        <v>-0</v>
      </c>
      <c r="H42" s="14" t="n">
        <f aca="false">-(H15-F15)</f>
        <v>-400</v>
      </c>
      <c r="I42" s="14" t="n">
        <f aca="false">-(I15-G15)</f>
        <v>-300</v>
      </c>
      <c r="J42" s="14" t="n">
        <f aca="false">-(J15-H15)</f>
        <v>-0</v>
      </c>
      <c r="K42" s="39" t="s">
        <v>646</v>
      </c>
    </row>
    <row r="43" customFormat="false" ht="15" hidden="false" customHeight="false" outlineLevel="0" collapsed="false">
      <c r="A43" s="6" t="s">
        <v>647</v>
      </c>
      <c r="B43" s="6" t="s">
        <v>648</v>
      </c>
      <c r="C43" s="6" t="s">
        <v>83</v>
      </c>
      <c r="F43" s="14" t="n">
        <f aca="false">Data_Panel!F18-Data_Panel!D18</f>
        <v>-78</v>
      </c>
      <c r="G43" s="14" t="n">
        <f aca="false">Data_Panel!G18-Data_Panel!E18</f>
        <v>-420</v>
      </c>
      <c r="H43" s="14" t="n">
        <f aca="false">Data_Panel!H18-Data_Panel!F18</f>
        <v>-548</v>
      </c>
      <c r="I43" s="14" t="n">
        <f aca="false">Data_Panel!I18-Data_Panel!G18</f>
        <v>-72</v>
      </c>
      <c r="J43" s="14" t="n">
        <f aca="false">Data_Panel!J18-Data_Panel!H18</f>
        <v>-88</v>
      </c>
      <c r="K43" s="39" t="s">
        <v>649</v>
      </c>
    </row>
    <row r="44" customFormat="false" ht="15" hidden="false" customHeight="false" outlineLevel="0" collapsed="false">
      <c r="A44" s="6" t="s">
        <v>650</v>
      </c>
      <c r="B44" s="6" t="s">
        <v>651</v>
      </c>
      <c r="C44" s="6" t="s">
        <v>83</v>
      </c>
      <c r="F44" s="14" t="n">
        <f aca="false">-(F33-D33)</f>
        <v>-188</v>
      </c>
      <c r="G44" s="14" t="n">
        <f aca="false">-(G33-E33)</f>
        <v>-140</v>
      </c>
      <c r="H44" s="14" t="n">
        <f aca="false">-(H33-F33)</f>
        <v>-97</v>
      </c>
      <c r="I44" s="14" t="n">
        <f aca="false">-(I33-G33)</f>
        <v>82</v>
      </c>
      <c r="J44" s="14" t="n">
        <f aca="false">-(J33-H33)</f>
        <v>-37</v>
      </c>
      <c r="K44" s="39" t="s">
        <v>652</v>
      </c>
    </row>
    <row r="45" customFormat="false" ht="15" hidden="false" customHeight="false" outlineLevel="0" collapsed="false">
      <c r="A45" s="6" t="s">
        <v>653</v>
      </c>
      <c r="B45" s="6" t="s">
        <v>654</v>
      </c>
      <c r="C45" s="6" t="s">
        <v>83</v>
      </c>
      <c r="F45" s="14" t="n">
        <f aca="false">Data_Panel!F30-Data_Panel!D30</f>
        <v>-45</v>
      </c>
      <c r="G45" s="14" t="n">
        <f aca="false">Data_Panel!G30-Data_Panel!E30</f>
        <v>21</v>
      </c>
      <c r="H45" s="14" t="n">
        <f aca="false">Data_Panel!H30-Data_Panel!F30</f>
        <v>16</v>
      </c>
      <c r="I45" s="14" t="n">
        <f aca="false">Data_Panel!I30-Data_Panel!G30</f>
        <v>-35</v>
      </c>
      <c r="J45" s="14" t="n">
        <f aca="false">Data_Panel!J30-Data_Panel!H30</f>
        <v>6</v>
      </c>
      <c r="K45" s="39" t="s">
        <v>655</v>
      </c>
    </row>
    <row r="46" customFormat="false" ht="35.05" hidden="false" customHeight="false" outlineLevel="0" collapsed="false">
      <c r="A46" s="6" t="s">
        <v>656</v>
      </c>
      <c r="B46" s="3" t="s">
        <v>657</v>
      </c>
      <c r="C46" s="6" t="s">
        <v>83</v>
      </c>
      <c r="D46" s="26"/>
      <c r="E46" s="26"/>
      <c r="F46" s="26" t="n">
        <f aca="false">F40-F41-F42-F43-F44-F45</f>
        <v>-479.779761</v>
      </c>
      <c r="G46" s="26" t="n">
        <f aca="false">G40-G41-G42-G43-G44-G45</f>
        <v>-317.63522</v>
      </c>
      <c r="H46" s="26" t="n">
        <f aca="false">H40-H41-H42-H43-H44-H45</f>
        <v>-325.664155</v>
      </c>
      <c r="I46" s="26" t="n">
        <f aca="false">I40-I41-I42-I43-I44-I45</f>
        <v>-443.944518</v>
      </c>
      <c r="J46" s="26" t="n">
        <f aca="false">J40-J41-J42-J43-J44-J45</f>
        <v>-139.606248</v>
      </c>
      <c r="K46" s="39" t="s">
        <v>658</v>
      </c>
    </row>
    <row r="47" customFormat="false" ht="15" hidden="false" customHeight="false" outlineLevel="0" collapsed="false">
      <c r="A47" s="6" t="s">
        <v>659</v>
      </c>
      <c r="B47" s="6" t="s">
        <v>660</v>
      </c>
      <c r="C47" s="6" t="s">
        <v>83</v>
      </c>
      <c r="J47" s="14" t="n">
        <f aca="false">J40-J41-J42-J43-(J44-RD_DA!J32)-J45</f>
        <v>-78.6062480000001</v>
      </c>
    </row>
    <row r="48" customFormat="false" ht="15" hidden="false" customHeight="false" outlineLevel="0" collapsed="false">
      <c r="A48" s="35" t="s">
        <v>661</v>
      </c>
      <c r="B48" s="36"/>
      <c r="C48" s="36"/>
      <c r="D48" s="36"/>
      <c r="E48" s="36"/>
      <c r="F48" s="36"/>
      <c r="G48" s="36"/>
      <c r="H48" s="36"/>
      <c r="I48" s="36"/>
      <c r="J48" s="36"/>
      <c r="K48" s="36"/>
    </row>
    <row r="49" customFormat="false" ht="15" hidden="false" customHeight="false" outlineLevel="0" collapsed="false">
      <c r="A49" s="6" t="s">
        <v>662</v>
      </c>
      <c r="B49" s="3" t="s">
        <v>663</v>
      </c>
      <c r="C49" s="6" t="s">
        <v>470</v>
      </c>
      <c r="D49" s="29"/>
      <c r="E49" s="29"/>
      <c r="F49" s="29" t="n">
        <f aca="false">F26</f>
        <v>-3.12046440261839</v>
      </c>
      <c r="G49" s="29" t="n">
        <f aca="false">G26</f>
        <v>-4.58989254936722</v>
      </c>
      <c r="H49" s="29" t="n">
        <f aca="false">H26</f>
        <v>-10.189624091712</v>
      </c>
      <c r="I49" s="29" t="n">
        <f aca="false">I26</f>
        <v>-15.7626385261127</v>
      </c>
      <c r="J49" s="29" t="n">
        <f aca="false">J26</f>
        <v>2.2800478367435</v>
      </c>
    </row>
    <row r="50" customFormat="false" ht="15" hidden="false" customHeight="false" outlineLevel="0" collapsed="false">
      <c r="A50" s="6" t="s">
        <v>664</v>
      </c>
      <c r="B50" s="6" t="s">
        <v>665</v>
      </c>
      <c r="C50" s="6" t="s">
        <v>470</v>
      </c>
      <c r="F50" s="42" t="n">
        <f aca="false">100*F39*(1/F7-1/D7)</f>
        <v>0.943776791806656</v>
      </c>
      <c r="G50" s="42" t="n">
        <f aca="false">100*G39*(1/G7-1/E7)</f>
        <v>-0.436768283241669</v>
      </c>
      <c r="H50" s="42" t="n">
        <f aca="false">100*H39*(1/H7-1/F7)</f>
        <v>1.12630386148136</v>
      </c>
      <c r="I50" s="42" t="n">
        <f aca="false">100*I39*(1/I7-1/G7)</f>
        <v>1.73146978440637</v>
      </c>
      <c r="J50" s="42" t="n">
        <f aca="false">100*J39*(1/J7-1/H7)</f>
        <v>0.298593742357331</v>
      </c>
      <c r="K50" s="39" t="s">
        <v>666</v>
      </c>
    </row>
    <row r="51" customFormat="false" ht="15" hidden="false" customHeight="false" outlineLevel="0" collapsed="false">
      <c r="A51" s="6" t="s">
        <v>667</v>
      </c>
      <c r="B51" s="6" t="s">
        <v>668</v>
      </c>
      <c r="C51" s="6" t="s">
        <v>470</v>
      </c>
      <c r="D51" s="42"/>
      <c r="E51" s="42"/>
      <c r="F51" s="42" t="n">
        <f aca="false">100*F41/F7</f>
        <v>-0</v>
      </c>
      <c r="G51" s="42" t="n">
        <f aca="false">100*G41/G7</f>
        <v>-0</v>
      </c>
      <c r="H51" s="42" t="n">
        <f aca="false">100*H41/H7</f>
        <v>-3.85520404780476</v>
      </c>
      <c r="I51" s="42" t="n">
        <f aca="false">100*I41/I7</f>
        <v>-13.249162207404</v>
      </c>
      <c r="J51" s="42" t="n">
        <f aca="false">100*J41/J7</f>
        <v>3.48240836180183</v>
      </c>
    </row>
    <row r="52" customFormat="false" ht="15" hidden="false" customHeight="false" outlineLevel="0" collapsed="false">
      <c r="A52" s="6" t="s">
        <v>669</v>
      </c>
      <c r="B52" s="6" t="s">
        <v>645</v>
      </c>
      <c r="C52" s="6" t="s">
        <v>470</v>
      </c>
      <c r="D52" s="42"/>
      <c r="E52" s="42"/>
      <c r="F52" s="42" t="n">
        <f aca="false">100*F42/F7</f>
        <v>-0</v>
      </c>
      <c r="G52" s="42" t="n">
        <f aca="false">100*G42/G7</f>
        <v>-0</v>
      </c>
      <c r="H52" s="42" t="n">
        <f aca="false">100*H42/H7</f>
        <v>-2.20297374160272</v>
      </c>
      <c r="I52" s="42" t="n">
        <f aca="false">100*I42/I7</f>
        <v>-1.6561452759255</v>
      </c>
      <c r="J52" s="42" t="n">
        <f aca="false">100*J42/J7</f>
        <v>-0</v>
      </c>
    </row>
    <row r="53" customFormat="false" ht="15" hidden="false" customHeight="false" outlineLevel="0" collapsed="false">
      <c r="A53" s="6" t="s">
        <v>670</v>
      </c>
      <c r="B53" s="6" t="s">
        <v>648</v>
      </c>
      <c r="C53" s="6" t="s">
        <v>470</v>
      </c>
      <c r="D53" s="42"/>
      <c r="E53" s="42"/>
      <c r="F53" s="42" t="n">
        <f aca="false">100*F43/F7</f>
        <v>-0.400883822272171</v>
      </c>
      <c r="G53" s="42" t="n">
        <f aca="false">100*G43/G7</f>
        <v>-2.03623683809397</v>
      </c>
      <c r="H53" s="42" t="n">
        <f aca="false">100*H43/H7</f>
        <v>-3.01807402599572</v>
      </c>
      <c r="I53" s="42" t="n">
        <f aca="false">100*I43/I7</f>
        <v>-0.39747486622212</v>
      </c>
      <c r="J53" s="42" t="n">
        <f aca="false">100*J43/J7</f>
        <v>-0.510753226397602</v>
      </c>
    </row>
    <row r="54" customFormat="false" ht="15" hidden="false" customHeight="false" outlineLevel="0" collapsed="false">
      <c r="A54" s="6" t="s">
        <v>671</v>
      </c>
      <c r="B54" s="6" t="s">
        <v>651</v>
      </c>
      <c r="C54" s="6" t="s">
        <v>470</v>
      </c>
      <c r="D54" s="42"/>
      <c r="E54" s="42"/>
      <c r="F54" s="42" t="n">
        <f aca="false">100*F44/F7</f>
        <v>-0.966232802399592</v>
      </c>
      <c r="G54" s="42" t="n">
        <f aca="false">100*G44/G7</f>
        <v>-0.678745612697989</v>
      </c>
      <c r="H54" s="42" t="n">
        <f aca="false">100*H44/H7</f>
        <v>-0.534221132338659</v>
      </c>
      <c r="I54" s="42" t="n">
        <f aca="false">100*I44/I7</f>
        <v>0.45267970875297</v>
      </c>
      <c r="J54" s="42" t="n">
        <f aca="false">100*J44/J7</f>
        <v>-0.214748515644446</v>
      </c>
    </row>
    <row r="55" customFormat="false" ht="15" hidden="false" customHeight="false" outlineLevel="0" collapsed="false">
      <c r="A55" s="6" t="s">
        <v>672</v>
      </c>
      <c r="B55" s="6" t="s">
        <v>654</v>
      </c>
      <c r="C55" s="6" t="s">
        <v>470</v>
      </c>
      <c r="D55" s="42"/>
      <c r="E55" s="42"/>
      <c r="F55" s="42" t="n">
        <f aca="false">100*F45/F7</f>
        <v>-0.231279128233945</v>
      </c>
      <c r="G55" s="42" t="n">
        <f aca="false">100*G45/G7</f>
        <v>0.101811841904698</v>
      </c>
      <c r="H55" s="42" t="n">
        <f aca="false">100*H45/H7</f>
        <v>0.0881189496641087</v>
      </c>
      <c r="I55" s="42" t="n">
        <f aca="false">100*I45/I7</f>
        <v>-0.193216948857975</v>
      </c>
      <c r="J55" s="42" t="n">
        <f aca="false">100*J45/J7</f>
        <v>0.0348240836180183</v>
      </c>
    </row>
    <row r="56" customFormat="false" ht="15" hidden="false" customHeight="false" outlineLevel="0" collapsed="false">
      <c r="A56" s="6" t="s">
        <v>673</v>
      </c>
      <c r="B56" s="3" t="s">
        <v>674</v>
      </c>
      <c r="C56" s="6" t="s">
        <v>470</v>
      </c>
      <c r="D56" s="29"/>
      <c r="E56" s="29"/>
      <c r="F56" s="29" t="n">
        <f aca="false">100*F46/F7</f>
        <v>-2.46584544151934</v>
      </c>
      <c r="G56" s="29" t="n">
        <f aca="false">100*G46/G7</f>
        <v>-1.53995365723829</v>
      </c>
      <c r="H56" s="29" t="n">
        <f aca="false">100*H46/H7</f>
        <v>-1.7935739551156</v>
      </c>
      <c r="I56" s="29" t="n">
        <f aca="false">100*I46/I7</f>
        <v>-2.45078872086241</v>
      </c>
      <c r="J56" s="29" t="n">
        <f aca="false">100*J46/J7</f>
        <v>-0.810276608991634</v>
      </c>
    </row>
    <row r="57" customFormat="false" ht="15" hidden="false" customHeight="false" outlineLevel="0" collapsed="false">
      <c r="A57" s="6" t="s">
        <v>675</v>
      </c>
      <c r="B57" s="6" t="s">
        <v>676</v>
      </c>
      <c r="C57" s="6" t="s">
        <v>470</v>
      </c>
      <c r="D57" s="42"/>
      <c r="E57" s="42"/>
      <c r="F57" s="42" t="n">
        <f aca="false">F50+F51+F52+F53+F54+F55+F56-F49</f>
        <v>0</v>
      </c>
      <c r="G57" s="42" t="n">
        <f aca="false">G50+G51+G52+G53+G54+G55+G56-G49</f>
        <v>0</v>
      </c>
      <c r="H57" s="42" t="n">
        <f aca="false">H50+H51+H52+H53+H54+H55+H56-H49</f>
        <v>0</v>
      </c>
      <c r="I57" s="42" t="n">
        <f aca="false">I50+I51+I52+I53+I54+I55+I56-I49</f>
        <v>0</v>
      </c>
      <c r="J57" s="42" t="n">
        <f aca="false">J50+J51+J52+J53+J54+J55+J56-J49</f>
        <v>0</v>
      </c>
    </row>
    <row r="58" customFormat="false" ht="15" hidden="false" customHeight="false" outlineLevel="0" collapsed="false">
      <c r="A58" s="35" t="s">
        <v>677</v>
      </c>
      <c r="B58" s="36"/>
      <c r="C58" s="36"/>
      <c r="D58" s="36"/>
      <c r="E58" s="36"/>
      <c r="F58" s="36"/>
      <c r="G58" s="36"/>
      <c r="H58" s="36"/>
      <c r="I58" s="36"/>
      <c r="J58" s="36"/>
      <c r="K58" s="36"/>
    </row>
    <row r="59" customFormat="false" ht="15" hidden="false" customHeight="false" outlineLevel="0" collapsed="false">
      <c r="A59" s="6" t="s">
        <v>678</v>
      </c>
      <c r="B59" s="6" t="s">
        <v>679</v>
      </c>
      <c r="C59" s="6" t="s">
        <v>83</v>
      </c>
      <c r="D59" s="14" t="str">
        <f aca="false">IF(Data_Panel!D36="","",Data_Panel!D36)</f>
        <v/>
      </c>
      <c r="E59" s="14" t="str">
        <f aca="false">IF(Data_Panel!E36="","",Data_Panel!E36)</f>
        <v/>
      </c>
      <c r="F59" s="14" t="n">
        <f aca="false">IF(Data_Panel!F36="","",Data_Panel!F36)</f>
        <v>-460</v>
      </c>
      <c r="G59" s="14" t="n">
        <f aca="false">IF(Data_Panel!G36="","",Data_Panel!G36)</f>
        <v>-540</v>
      </c>
      <c r="H59" s="14" t="n">
        <f aca="false">IF(Data_Panel!H36="","",Data_Panel!H36)</f>
        <v>-1620</v>
      </c>
      <c r="I59" s="14" t="n">
        <f aca="false">IF(Data_Panel!I36="","",Data_Panel!I36)</f>
        <v>-2550</v>
      </c>
      <c r="J59" s="14" t="n">
        <f aca="false">IF(Data_Panel!J36="","",Data_Panel!J36)</f>
        <v>150</v>
      </c>
      <c r="K59" s="39" t="s">
        <v>680</v>
      </c>
    </row>
    <row r="60" customFormat="false" ht="15" hidden="false" customHeight="false" outlineLevel="0" collapsed="false">
      <c r="A60" s="6" t="s">
        <v>681</v>
      </c>
      <c r="B60" s="6" t="s">
        <v>682</v>
      </c>
      <c r="C60" s="6" t="s">
        <v>83</v>
      </c>
      <c r="D60" s="14" t="str">
        <f aca="false">IF(Data_Panel!D37="","",Data_Panel!D37)</f>
        <v/>
      </c>
      <c r="E60" s="14" t="str">
        <f aca="false">IF(Data_Panel!E37="","",Data_Panel!E37)</f>
        <v/>
      </c>
      <c r="F60" s="14" t="n">
        <f aca="false">IF(Data_Panel!F37="","",Data_Panel!F37)</f>
        <v>-240</v>
      </c>
      <c r="G60" s="14" t="n">
        <f aca="false">IF(Data_Panel!G37="","",Data_Panel!G37)</f>
        <v>-60</v>
      </c>
      <c r="H60" s="14" t="n">
        <f aca="false">IF(Data_Panel!H37="","",Data_Panel!H37)</f>
        <v>-220</v>
      </c>
      <c r="I60" s="14" t="n">
        <f aca="false">IF(Data_Panel!I37="","",Data_Panel!I37)</f>
        <v>-890</v>
      </c>
      <c r="J60" s="14" t="n">
        <f aca="false">IF(Data_Panel!J37="","",Data_Panel!J37)</f>
        <v>-50</v>
      </c>
    </row>
    <row r="61" customFormat="false" ht="15" hidden="false" customHeight="false" outlineLevel="0" collapsed="false">
      <c r="A61" s="6" t="s">
        <v>683</v>
      </c>
      <c r="B61" s="6" t="s">
        <v>684</v>
      </c>
      <c r="C61" s="6" t="s">
        <v>83</v>
      </c>
      <c r="D61" s="14" t="str">
        <f aca="false">IF(Data_Panel!D38="","",Data_Panel!D38)</f>
        <v/>
      </c>
      <c r="E61" s="14" t="str">
        <f aca="false">IF(Data_Panel!E38="","",Data_Panel!E38)</f>
        <v/>
      </c>
      <c r="F61" s="14" t="n">
        <f aca="false">IF(Data_Panel!F38="","",Data_Panel!F38)</f>
        <v>-160</v>
      </c>
      <c r="G61" s="14" t="n">
        <f aca="false">IF(Data_Panel!G38="","",Data_Panel!G38)</f>
        <v>-140</v>
      </c>
      <c r="H61" s="14" t="n">
        <f aca="false">IF(Data_Panel!H38="","",Data_Panel!H38)</f>
        <v>40</v>
      </c>
      <c r="I61" s="14" t="n">
        <f aca="false">IF(Data_Panel!I38="","",Data_Panel!I38)</f>
        <v>220</v>
      </c>
      <c r="J61" s="14" t="n">
        <f aca="false">IF(Data_Panel!J38="","",Data_Panel!J38)</f>
        <v>10</v>
      </c>
    </row>
    <row r="62" customFormat="false" ht="15" hidden="false" customHeight="false" outlineLevel="0" collapsed="false">
      <c r="A62" s="6" t="s">
        <v>685</v>
      </c>
      <c r="B62" s="6" t="s">
        <v>686</v>
      </c>
      <c r="C62" s="6" t="s">
        <v>83</v>
      </c>
      <c r="D62" s="14" t="str">
        <f aca="false">IF(Data_Panel!D39="","",Data_Panel!D39)</f>
        <v/>
      </c>
      <c r="E62" s="14" t="str">
        <f aca="false">IF(Data_Panel!E39="","",Data_Panel!E39)</f>
        <v/>
      </c>
      <c r="F62" s="14" t="n">
        <f aca="false">IF(Data_Panel!F39="","",Data_Panel!F39)</f>
        <v>80</v>
      </c>
      <c r="G62" s="14" t="n">
        <f aca="false">IF(Data_Panel!G39="","",Data_Panel!G39)</f>
        <v>-180</v>
      </c>
      <c r="H62" s="14" t="n">
        <f aca="false">IF(Data_Panel!H39="","",Data_Panel!H39)</f>
        <v>-260</v>
      </c>
      <c r="I62" s="14" t="n">
        <f aca="false">IF(Data_Panel!I39="","",Data_Panel!I39)</f>
        <v>50</v>
      </c>
      <c r="J62" s="14" t="n">
        <f aca="false">IF(Data_Panel!J39="","",Data_Panel!J39)</f>
        <v>230</v>
      </c>
    </row>
    <row r="63" customFormat="false" ht="15" hidden="false" customHeight="false" outlineLevel="0" collapsed="false">
      <c r="A63" s="6" t="s">
        <v>687</v>
      </c>
      <c r="B63" s="6" t="s">
        <v>688</v>
      </c>
      <c r="C63" s="6" t="s">
        <v>83</v>
      </c>
      <c r="D63" s="14" t="str">
        <f aca="false">IF(Data_Panel!D36="","",SUM(D59,D60,D61,D62))</f>
        <v/>
      </c>
      <c r="E63" s="14" t="str">
        <f aca="false">IF(Data_Panel!E36="","",SUM(E59,E60,E61,E62))</f>
        <v/>
      </c>
      <c r="F63" s="14" t="n">
        <f aca="false">IF(Data_Panel!F36="","",SUM(F59,F60,F61,F62))</f>
        <v>-780</v>
      </c>
      <c r="G63" s="14" t="n">
        <f aca="false">IF(Data_Panel!G36="","",SUM(G59,G60,G61,G62))</f>
        <v>-920</v>
      </c>
      <c r="H63" s="14" t="n">
        <f aca="false">IF(Data_Panel!H36="","",SUM(H59,H60,H61,H62))</f>
        <v>-2060</v>
      </c>
      <c r="I63" s="14" t="n">
        <f aca="false">IF(Data_Panel!I36="","",SUM(I59,I60,I61,I62))</f>
        <v>-3170</v>
      </c>
      <c r="J63" s="14" t="n">
        <f aca="false">IF(Data_Panel!J36="","",SUM(J59,J60,J61,J62))</f>
        <v>340</v>
      </c>
    </row>
    <row r="64" customFormat="false" ht="15" hidden="false" customHeight="false" outlineLevel="0" collapsed="false">
      <c r="A64" s="6" t="s">
        <v>689</v>
      </c>
      <c r="B64" s="6" t="s">
        <v>690</v>
      </c>
      <c r="C64" s="6" t="s">
        <v>83</v>
      </c>
      <c r="D64" s="14"/>
      <c r="E64" s="14"/>
      <c r="F64" s="14" t="n">
        <f aca="false">IF(F63="",0,F40-F63)</f>
        <v>-10.7797609999998</v>
      </c>
      <c r="G64" s="14" t="n">
        <f aca="false">IF(G63="",0,G40-G63)</f>
        <v>63.3647799999999</v>
      </c>
      <c r="H64" s="14" t="n">
        <f aca="false">IF(H63="",0,H40-H63)</f>
        <v>5.33584499999961</v>
      </c>
      <c r="I64" s="14" t="n">
        <f aca="false">IF(I63="",0,I40-I63)</f>
        <v>1.05548199999976</v>
      </c>
      <c r="J64" s="14" t="n">
        <f aca="false">IF(J63="",0,J40-J63)</f>
        <v>1.39375199999995</v>
      </c>
    </row>
    <row r="65" customFormat="false" ht="15" hidden="false" customHeight="false" outlineLevel="0" collapsed="false">
      <c r="A65" s="6" t="s">
        <v>691</v>
      </c>
      <c r="B65" s="6" t="s">
        <v>692</v>
      </c>
      <c r="C65" s="6" t="s">
        <v>83</v>
      </c>
      <c r="D65" s="14" t="n">
        <f aca="false">IF(AND(RIGHT(D$5,2)="H2",VALUE(LEFT(D$5,4))&lt;=2024),250,50)</f>
        <v>50</v>
      </c>
      <c r="E65" s="14" t="n">
        <f aca="false">IF(AND(RIGHT(E$5,2)="H2",VALUE(LEFT(E$5,4))&lt;=2024),250,50)</f>
        <v>250</v>
      </c>
      <c r="F65" s="14" t="n">
        <f aca="false">IF(AND(RIGHT(F$5,2)="H2",VALUE(LEFT(F$5,4))&lt;=2024),250,50)</f>
        <v>50</v>
      </c>
      <c r="G65" s="14" t="n">
        <f aca="false">IF(AND(RIGHT(G$5,2)="H2",VALUE(LEFT(G$5,4))&lt;=2024),250,50)</f>
        <v>250</v>
      </c>
      <c r="H65" s="14" t="n">
        <f aca="false">IF(AND(RIGHT(H$5,2)="H2",VALUE(LEFT(H$5,4))&lt;=2024),250,50)</f>
        <v>50</v>
      </c>
      <c r="I65" s="14" t="n">
        <f aca="false">IF(AND(RIGHT(I$5,2)="H2",VALUE(LEFT(I$5,4))&lt;=2024),250,50)</f>
        <v>50</v>
      </c>
      <c r="J65" s="14" t="n">
        <f aca="false">IF(AND(RIGHT(J$5,2)="H2",VALUE(LEFT(J$5,4))&lt;=2024),250,50)</f>
        <v>50</v>
      </c>
      <c r="K65" s="39" t="s">
        <v>693</v>
      </c>
    </row>
  </sheetData>
  <mergeCells count="2">
    <mergeCell ref="A17:K17"/>
    <mergeCell ref="A32:K32"/>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472C4"/>
    <pageSetUpPr fitToPage="true"/>
  </sheetPr>
  <dimension ref="A1:K40"/>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52"/>
    <col collapsed="false" customWidth="true" hidden="false" outlineLevel="0" max="3" min="3" style="0" width="8"/>
    <col collapsed="false" customWidth="true" hidden="false" outlineLevel="0" max="10" min="4" style="0" width="12"/>
    <col collapsed="false" customWidth="true" hidden="false" outlineLevel="0" max="11" min="11" style="0" width="70"/>
  </cols>
  <sheetData>
    <row r="1" customFormat="false" ht="17.35" hidden="false" customHeight="false" outlineLevel="0" collapsed="false">
      <c r="A1" s="1" t="s">
        <v>694</v>
      </c>
    </row>
    <row r="2" customFormat="false" ht="15" hidden="false" customHeight="false" outlineLevel="0" collapsed="false">
      <c r="A2" s="2" t="s">
        <v>695</v>
      </c>
    </row>
    <row r="3" customFormat="false" ht="15" hidden="false" customHeight="false" outlineLevel="0" collapsed="false">
      <c r="A3" s="3" t="s">
        <v>696</v>
      </c>
    </row>
    <row r="5" customFormat="false" ht="15" hidden="false" customHeight="false" outlineLevel="0" collapsed="false">
      <c r="A5" s="13" t="s">
        <v>571</v>
      </c>
      <c r="B5" s="13" t="s">
        <v>572</v>
      </c>
      <c r="C5" s="13" t="s">
        <v>573</v>
      </c>
      <c r="D5" s="13" t="str">
        <f aca="false">Data_Panel!D$5</f>
        <v>2023-H1</v>
      </c>
      <c r="E5" s="13" t="str">
        <f aca="false">Data_Panel!E$5</f>
        <v>2023-H2</v>
      </c>
      <c r="F5" s="13" t="str">
        <f aca="false">Data_Panel!F$5</f>
        <v>2024-H1</v>
      </c>
      <c r="G5" s="13" t="str">
        <f aca="false">Data_Panel!G$5</f>
        <v>2024-H2</v>
      </c>
      <c r="H5" s="13" t="str">
        <f aca="false">Data_Panel!H$5</f>
        <v>2025-H1</v>
      </c>
      <c r="I5" s="13" t="str">
        <f aca="false">Data_Panel!I$5</f>
        <v>2025-H2</v>
      </c>
      <c r="J5" s="13" t="str">
        <f aca="false">Data_Panel!J$5</f>
        <v>2026-H1</v>
      </c>
      <c r="K5" s="13" t="s">
        <v>574</v>
      </c>
    </row>
    <row r="6" customFormat="false" ht="15" hidden="false" customHeight="false" outlineLevel="0" collapsed="false">
      <c r="A6" s="35" t="s">
        <v>697</v>
      </c>
      <c r="B6" s="36"/>
      <c r="C6" s="36"/>
      <c r="D6" s="36"/>
      <c r="E6" s="36"/>
      <c r="F6" s="36"/>
      <c r="G6" s="36"/>
      <c r="H6" s="36"/>
      <c r="I6" s="36"/>
      <c r="J6" s="36"/>
      <c r="K6" s="36"/>
    </row>
    <row r="7" customFormat="false" ht="30" hidden="false" customHeight="true" outlineLevel="0" collapsed="false">
      <c r="A7" s="44" t="s">
        <v>698</v>
      </c>
      <c r="B7" s="44"/>
      <c r="C7" s="44"/>
      <c r="D7" s="44"/>
      <c r="E7" s="44"/>
      <c r="F7" s="44"/>
      <c r="G7" s="44"/>
      <c r="H7" s="44"/>
      <c r="I7" s="44"/>
      <c r="J7" s="44"/>
      <c r="K7" s="44"/>
    </row>
    <row r="8" customFormat="false" ht="15" hidden="false" customHeight="false" outlineLevel="0" collapsed="false">
      <c r="A8" s="6" t="s">
        <v>699</v>
      </c>
      <c r="B8" s="6" t="s">
        <v>98</v>
      </c>
      <c r="C8" s="6" t="s">
        <v>83</v>
      </c>
      <c r="D8" s="25" t="n">
        <f aca="false">Data_Panel!D13</f>
        <v>18892</v>
      </c>
      <c r="E8" s="25" t="n">
        <f aca="false">Data_Panel!E13</f>
        <v>18457</v>
      </c>
      <c r="F8" s="25" t="n">
        <f aca="false">Data_Panel!F13</f>
        <v>17695</v>
      </c>
      <c r="G8" s="25" t="n">
        <f aca="false">Data_Panel!G13</f>
        <v>18743</v>
      </c>
      <c r="H8" s="25" t="n">
        <f aca="false">Data_Panel!H13</f>
        <v>16138</v>
      </c>
      <c r="I8" s="25" t="n">
        <f aca="false">Data_Panel!I13</f>
        <v>16047</v>
      </c>
      <c r="J8" s="25" t="n">
        <f aca="false">Data_Panel!J13</f>
        <v>15158</v>
      </c>
    </row>
    <row r="9" customFormat="false" ht="15" hidden="false" customHeight="false" outlineLevel="0" collapsed="false">
      <c r="A9" s="6" t="s">
        <v>700</v>
      </c>
      <c r="B9" s="3" t="s">
        <v>701</v>
      </c>
      <c r="C9" s="6" t="s">
        <v>83</v>
      </c>
      <c r="D9" s="40" t="n">
        <f aca="false">Data_Panel!D17</f>
        <v>1545</v>
      </c>
      <c r="E9" s="40" t="n">
        <f aca="false">Data_Panel!E17</f>
        <v>1289</v>
      </c>
      <c r="F9" s="40" t="n">
        <f aca="false">Data_Panel!F17</f>
        <v>1665</v>
      </c>
      <c r="G9" s="40" t="n">
        <f aca="false">Data_Panel!G17</f>
        <v>863</v>
      </c>
      <c r="H9" s="40" t="n">
        <f aca="false">Data_Panel!H17</f>
        <v>1264</v>
      </c>
      <c r="I9" s="40" t="n">
        <f aca="false">Data_Panel!I17</f>
        <v>1028</v>
      </c>
      <c r="J9" s="40" t="n">
        <f aca="false">Data_Panel!J17</f>
        <v>1116</v>
      </c>
      <c r="K9" s="39" t="s">
        <v>702</v>
      </c>
    </row>
    <row r="10" customFormat="false" ht="15" hidden="false" customHeight="false" outlineLevel="0" collapsed="false">
      <c r="A10" s="6" t="s">
        <v>703</v>
      </c>
      <c r="B10" s="6" t="s">
        <v>648</v>
      </c>
      <c r="C10" s="6" t="s">
        <v>83</v>
      </c>
      <c r="D10" s="25" t="n">
        <f aca="false">Data_Panel!D18</f>
        <v>1201</v>
      </c>
      <c r="E10" s="25" t="n">
        <f aca="false">Data_Panel!E18</f>
        <v>880</v>
      </c>
      <c r="F10" s="25" t="n">
        <f aca="false">Data_Panel!F18</f>
        <v>1123</v>
      </c>
      <c r="G10" s="25" t="n">
        <f aca="false">Data_Panel!G18</f>
        <v>460</v>
      </c>
      <c r="H10" s="25" t="n">
        <f aca="false">Data_Panel!H18</f>
        <v>575</v>
      </c>
      <c r="I10" s="25" t="n">
        <f aca="false">Data_Panel!I18</f>
        <v>388</v>
      </c>
      <c r="J10" s="25" t="n">
        <f aca="false">Data_Panel!J18</f>
        <v>487</v>
      </c>
    </row>
    <row r="11" customFormat="false" ht="15" hidden="false" customHeight="false" outlineLevel="0" collapsed="false">
      <c r="A11" s="6" t="s">
        <v>704</v>
      </c>
      <c r="B11" s="6" t="s">
        <v>705</v>
      </c>
      <c r="C11" s="6" t="s">
        <v>83</v>
      </c>
      <c r="D11" s="25" t="n">
        <f aca="false">Data_Panel!D20</f>
        <v>343</v>
      </c>
      <c r="E11" s="25" t="n">
        <f aca="false">Data_Panel!E20</f>
        <v>410</v>
      </c>
      <c r="F11" s="25" t="n">
        <f aca="false">Data_Panel!F20</f>
        <v>541</v>
      </c>
      <c r="G11" s="25" t="n">
        <f aca="false">Data_Panel!G20</f>
        <v>404</v>
      </c>
      <c r="H11" s="25" t="n">
        <f aca="false">Data_Panel!H20</f>
        <v>690</v>
      </c>
      <c r="I11" s="25" t="n">
        <f aca="false">Data_Panel!I20</f>
        <v>639</v>
      </c>
      <c r="J11" s="25" t="n">
        <f aca="false">Data_Panel!J20</f>
        <v>629</v>
      </c>
    </row>
    <row r="12" customFormat="false" ht="15" hidden="false" customHeight="false" outlineLevel="0" collapsed="false">
      <c r="A12" s="6" t="s">
        <v>706</v>
      </c>
      <c r="B12" s="6" t="s">
        <v>120</v>
      </c>
      <c r="C12" s="6" t="s">
        <v>83</v>
      </c>
      <c r="D12" s="25" t="n">
        <f aca="false">Data_Panel!D21</f>
        <v>427</v>
      </c>
      <c r="E12" s="25" t="n">
        <f aca="false">Data_Panel!E21</f>
        <v>533</v>
      </c>
      <c r="F12" s="25" t="n">
        <f aca="false">Data_Panel!F21</f>
        <v>516</v>
      </c>
      <c r="G12" s="25" t="n">
        <f aca="false">Data_Panel!G21</f>
        <v>585</v>
      </c>
      <c r="H12" s="25" t="n">
        <f aca="false">Data_Panel!H21</f>
        <v>600</v>
      </c>
      <c r="I12" s="25" t="n">
        <f aca="false">Data_Panel!I21</f>
        <v>1230</v>
      </c>
      <c r="J12" s="25" t="n">
        <f aca="false">Data_Panel!J21</f>
        <v>705</v>
      </c>
    </row>
    <row r="13" customFormat="false" ht="15" hidden="false" customHeight="false" outlineLevel="0" collapsed="false">
      <c r="A13" s="6" t="s">
        <v>707</v>
      </c>
      <c r="B13" s="3" t="s">
        <v>708</v>
      </c>
      <c r="C13" s="6" t="s">
        <v>83</v>
      </c>
      <c r="D13" s="26" t="n">
        <f aca="false">D11+D12</f>
        <v>770</v>
      </c>
      <c r="E13" s="26" t="n">
        <f aca="false">E11+E12</f>
        <v>943</v>
      </c>
      <c r="F13" s="26" t="n">
        <f aca="false">F11+F12</f>
        <v>1057</v>
      </c>
      <c r="G13" s="26" t="n">
        <f aca="false">G11+G12</f>
        <v>989</v>
      </c>
      <c r="H13" s="26" t="n">
        <f aca="false">H11+H12</f>
        <v>1290</v>
      </c>
      <c r="I13" s="26" t="n">
        <f aca="false">I11+I12</f>
        <v>1869</v>
      </c>
      <c r="J13" s="26" t="n">
        <f aca="false">J11+J12</f>
        <v>1334</v>
      </c>
    </row>
    <row r="14" customFormat="false" ht="15" hidden="false" customHeight="false" outlineLevel="0" collapsed="false">
      <c r="A14" s="6" t="s">
        <v>709</v>
      </c>
      <c r="B14" s="3" t="s">
        <v>710</v>
      </c>
      <c r="C14" s="6" t="s">
        <v>106</v>
      </c>
      <c r="D14" s="32" t="n">
        <f aca="false">D10/D9</f>
        <v>0.777346278317152</v>
      </c>
      <c r="E14" s="32" t="n">
        <f aca="false">E10/E9</f>
        <v>0.682699767261443</v>
      </c>
      <c r="F14" s="32" t="n">
        <f aca="false">F10/F9</f>
        <v>0.674474474474475</v>
      </c>
      <c r="G14" s="32" t="n">
        <f aca="false">G10/G9</f>
        <v>0.533024333719583</v>
      </c>
      <c r="H14" s="32" t="n">
        <f aca="false">H10/H9</f>
        <v>0.454905063291139</v>
      </c>
      <c r="I14" s="32" t="n">
        <f aca="false">I10/I9</f>
        <v>0.377431906614786</v>
      </c>
      <c r="J14" s="32" t="n">
        <f aca="false">J10/J9</f>
        <v>0.436379928315412</v>
      </c>
    </row>
    <row r="15" customFormat="false" ht="15" hidden="false" customHeight="false" outlineLevel="0" collapsed="false">
      <c r="A15" s="6" t="s">
        <v>711</v>
      </c>
      <c r="B15" s="6" t="s">
        <v>114</v>
      </c>
      <c r="C15" s="6" t="s">
        <v>106</v>
      </c>
      <c r="D15" s="28" t="n">
        <f aca="false">IF(Data_Panel!D19="","",Data_Panel!D19/100)</f>
        <v>0.777</v>
      </c>
      <c r="E15" s="28" t="str">
        <f aca="false">IF(Data_Panel!E19="","",Data_Panel!E19/100)</f>
        <v/>
      </c>
      <c r="F15" s="28" t="n">
        <f aca="false">IF(Data_Panel!F19="","",Data_Panel!F19/100)</f>
        <v>0.675</v>
      </c>
      <c r="G15" s="28" t="str">
        <f aca="false">IF(Data_Panel!G19="","",Data_Panel!G19/100)</f>
        <v/>
      </c>
      <c r="H15" s="28" t="n">
        <f aca="false">IF(Data_Panel!H19="","",Data_Panel!H19/100)</f>
        <v>0.455</v>
      </c>
      <c r="I15" s="28" t="str">
        <f aca="false">IF(Data_Panel!I19="","",Data_Panel!I19/100)</f>
        <v/>
      </c>
      <c r="J15" s="28" t="n">
        <f aca="false">IF(Data_Panel!J19="","",Data_Panel!J19/100)</f>
        <v>0.436</v>
      </c>
    </row>
    <row r="16" customFormat="false" ht="15" hidden="false" customHeight="false" outlineLevel="0" collapsed="false">
      <c r="A16" s="6" t="s">
        <v>712</v>
      </c>
      <c r="B16" s="6" t="s">
        <v>713</v>
      </c>
      <c r="C16" s="6" t="s">
        <v>470</v>
      </c>
      <c r="D16" s="42" t="n">
        <f aca="false">IF(D15="",0,(D14-D15)*100)</f>
        <v>0.034627831715206</v>
      </c>
      <c r="E16" s="42" t="n">
        <f aca="false">IF(E15="",0,(E14-E15)*100)</f>
        <v>0</v>
      </c>
      <c r="F16" s="42" t="n">
        <f aca="false">IF(F15="",0,(F14-F15)*100)</f>
        <v>-0.0525525525525539</v>
      </c>
      <c r="G16" s="42" t="n">
        <f aca="false">IF(G15="",0,(G14-G15)*100)</f>
        <v>0</v>
      </c>
      <c r="H16" s="42" t="n">
        <f aca="false">IF(H15="",0,(H14-H15)*100)</f>
        <v>-0.00949367088607933</v>
      </c>
      <c r="I16" s="42" t="n">
        <f aca="false">IF(I15="",0,(I14-I15)*100)</f>
        <v>0</v>
      </c>
      <c r="J16" s="42" t="n">
        <f aca="false">IF(J15="",0,(J14-J15)*100)</f>
        <v>0.037992831541217</v>
      </c>
    </row>
    <row r="17" customFormat="false" ht="15" hidden="false" customHeight="false" outlineLevel="0" collapsed="false">
      <c r="A17" s="6" t="s">
        <v>714</v>
      </c>
      <c r="B17" s="6" t="s">
        <v>715</v>
      </c>
      <c r="C17" s="6" t="s">
        <v>83</v>
      </c>
      <c r="D17" s="14" t="n">
        <f aca="false">D10-D12</f>
        <v>774</v>
      </c>
      <c r="E17" s="14" t="n">
        <f aca="false">E10-E12</f>
        <v>347</v>
      </c>
      <c r="F17" s="14" t="n">
        <f aca="false">F10-F12</f>
        <v>607</v>
      </c>
      <c r="G17" s="14" t="n">
        <f aca="false">G10-G12</f>
        <v>-125</v>
      </c>
      <c r="H17" s="14" t="n">
        <f aca="false">H10-H12</f>
        <v>-25</v>
      </c>
      <c r="I17" s="14" t="n">
        <f aca="false">I10-I12</f>
        <v>-842</v>
      </c>
      <c r="J17" s="14" t="n">
        <f aca="false">J10-J12</f>
        <v>-218</v>
      </c>
      <c r="K17" s="39" t="s">
        <v>716</v>
      </c>
    </row>
    <row r="18" customFormat="false" ht="15" hidden="false" customHeight="false" outlineLevel="0" collapsed="false">
      <c r="A18" s="6" t="s">
        <v>717</v>
      </c>
      <c r="B18" s="6" t="s">
        <v>718</v>
      </c>
      <c r="C18" s="6" t="s">
        <v>106</v>
      </c>
      <c r="D18" s="28" t="n">
        <f aca="false">D9/D8</f>
        <v>0.0817806478932882</v>
      </c>
      <c r="E18" s="28" t="n">
        <f aca="false">E9/E8</f>
        <v>0.0698380018421195</v>
      </c>
      <c r="F18" s="28" t="n">
        <f aca="false">F9/F8</f>
        <v>0.0940943769426392</v>
      </c>
      <c r="G18" s="28" t="n">
        <f aca="false">G9/G8</f>
        <v>0.0460438563730459</v>
      </c>
      <c r="H18" s="28" t="n">
        <f aca="false">H9/H8</f>
        <v>0.0783244516049077</v>
      </c>
      <c r="I18" s="28" t="n">
        <f aca="false">I9/I8</f>
        <v>0.0640618184084252</v>
      </c>
      <c r="J18" s="28" t="n">
        <f aca="false">J9/J8</f>
        <v>0.0736244887188284</v>
      </c>
    </row>
    <row r="19" customFormat="false" ht="15" hidden="false" customHeight="false" outlineLevel="0" collapsed="false">
      <c r="A19" s="6" t="s">
        <v>719</v>
      </c>
      <c r="B19" s="6" t="s">
        <v>720</v>
      </c>
      <c r="C19" s="6" t="s">
        <v>106</v>
      </c>
      <c r="D19" s="28" t="n">
        <f aca="false">D13/D8</f>
        <v>0.0407579928011857</v>
      </c>
      <c r="E19" s="28" t="n">
        <f aca="false">E13/E8</f>
        <v>0.0510917267161511</v>
      </c>
      <c r="F19" s="28" t="n">
        <f aca="false">F13/F8</f>
        <v>0.059734388245267</v>
      </c>
      <c r="G19" s="28" t="n">
        <f aca="false">G13/G8</f>
        <v>0.0527663661100144</v>
      </c>
      <c r="H19" s="28" t="n">
        <f aca="false">H13/H8</f>
        <v>0.079935555830958</v>
      </c>
      <c r="I19" s="28" t="n">
        <f aca="false">I13/I8</f>
        <v>0.116470368293139</v>
      </c>
      <c r="J19" s="28" t="n">
        <f aca="false">J13/J8</f>
        <v>0.0880063332893522</v>
      </c>
    </row>
    <row r="20" customFormat="false" ht="15" hidden="false" customHeight="false" outlineLevel="0" collapsed="false">
      <c r="A20" s="6" t="s">
        <v>721</v>
      </c>
      <c r="B20" s="6" t="s">
        <v>722</v>
      </c>
      <c r="C20" s="6" t="s">
        <v>83</v>
      </c>
      <c r="F20" s="14" t="n">
        <f aca="false">F9*(1-D14)+F12</f>
        <v>886.718446601942</v>
      </c>
      <c r="G20" s="14" t="n">
        <f aca="false">G9*(1-E14)+G12</f>
        <v>858.830100853375</v>
      </c>
      <c r="H20" s="14" t="n">
        <f aca="false">H9*(1-F14)+H12</f>
        <v>1011.46426426426</v>
      </c>
      <c r="I20" s="14" t="n">
        <f aca="false">I9*(1-G14)+I12</f>
        <v>1710.05098493627</v>
      </c>
      <c r="J20" s="14" t="n">
        <f aca="false">J9*(1-H14)+J12</f>
        <v>1313.32594936709</v>
      </c>
      <c r="K20" s="39" t="s">
        <v>723</v>
      </c>
    </row>
    <row r="21" customFormat="false" ht="15" hidden="false" customHeight="false" outlineLevel="0" collapsed="false">
      <c r="A21" s="6" t="s">
        <v>724</v>
      </c>
      <c r="B21" s="3" t="s">
        <v>725</v>
      </c>
      <c r="C21" s="6" t="s">
        <v>83</v>
      </c>
      <c r="D21" s="26"/>
      <c r="E21" s="26"/>
      <c r="F21" s="26" t="n">
        <f aca="false">F13-F20</f>
        <v>170.281553398058</v>
      </c>
      <c r="G21" s="26" t="n">
        <f aca="false">G13-G20</f>
        <v>130.169899146625</v>
      </c>
      <c r="H21" s="26" t="n">
        <f aca="false">H13-H20</f>
        <v>278.535735735736</v>
      </c>
      <c r="I21" s="26" t="n">
        <f aca="false">I13-I20</f>
        <v>158.949015063731</v>
      </c>
      <c r="J21" s="26" t="n">
        <f aca="false">J13-J20</f>
        <v>20.6740506329115</v>
      </c>
    </row>
    <row r="22" customFormat="false" ht="15" hidden="false" customHeight="false" outlineLevel="0" collapsed="false">
      <c r="A22" s="6" t="s">
        <v>726</v>
      </c>
      <c r="B22" s="6" t="s">
        <v>727</v>
      </c>
      <c r="C22" s="6" t="s">
        <v>83</v>
      </c>
      <c r="F22" s="14" t="n">
        <f aca="false">F13-D13</f>
        <v>287</v>
      </c>
      <c r="G22" s="14" t="n">
        <f aca="false">G13-E13</f>
        <v>46</v>
      </c>
      <c r="H22" s="14" t="n">
        <f aca="false">H13-F13</f>
        <v>233</v>
      </c>
      <c r="I22" s="14" t="n">
        <f aca="false">I13-G13</f>
        <v>880</v>
      </c>
      <c r="J22" s="14" t="n">
        <f aca="false">J13-H13</f>
        <v>44</v>
      </c>
    </row>
    <row r="23" customFormat="false" ht="15" hidden="false" customHeight="false" outlineLevel="0" collapsed="false">
      <c r="A23" s="6" t="s">
        <v>728</v>
      </c>
      <c r="B23" s="6" t="s">
        <v>729</v>
      </c>
      <c r="C23" s="6" t="s">
        <v>83</v>
      </c>
      <c r="F23" s="14" t="n">
        <f aca="false">F9-D9</f>
        <v>120</v>
      </c>
      <c r="G23" s="14" t="n">
        <f aca="false">G9-E9</f>
        <v>-426</v>
      </c>
      <c r="H23" s="14" t="n">
        <f aca="false">H9-F9</f>
        <v>-401</v>
      </c>
      <c r="I23" s="14" t="n">
        <f aca="false">I9-G9</f>
        <v>165</v>
      </c>
      <c r="J23" s="14" t="n">
        <f aca="false">J9-H9</f>
        <v>-148</v>
      </c>
    </row>
    <row r="24" customFormat="false" ht="15" hidden="false" customHeight="false" outlineLevel="0" collapsed="false">
      <c r="A24" s="6" t="s">
        <v>730</v>
      </c>
      <c r="B24" s="6" t="s">
        <v>731</v>
      </c>
      <c r="C24" s="6" t="s">
        <v>83</v>
      </c>
      <c r="F24" s="14" t="n">
        <f aca="false">F12-D12</f>
        <v>89</v>
      </c>
      <c r="G24" s="14" t="n">
        <f aca="false">G12-E12</f>
        <v>52</v>
      </c>
      <c r="H24" s="14" t="n">
        <f aca="false">H12-F12</f>
        <v>84</v>
      </c>
      <c r="I24" s="14" t="n">
        <f aca="false">I12-G12</f>
        <v>645</v>
      </c>
      <c r="J24" s="14" t="n">
        <f aca="false">J12-H12</f>
        <v>105</v>
      </c>
    </row>
    <row r="25" customFormat="false" ht="15" hidden="false" customHeight="false" outlineLevel="0" collapsed="false">
      <c r="A25" s="6" t="s">
        <v>732</v>
      </c>
      <c r="B25" s="6" t="s">
        <v>733</v>
      </c>
      <c r="C25" s="6" t="s">
        <v>83</v>
      </c>
      <c r="D25" s="14" t="n">
        <f aca="false">D9-D10-D11</f>
        <v>1</v>
      </c>
      <c r="E25" s="14" t="n">
        <f aca="false">E9-E10-E11</f>
        <v>-1</v>
      </c>
      <c r="F25" s="14" t="n">
        <f aca="false">F9-F10-F11</f>
        <v>1</v>
      </c>
      <c r="G25" s="14" t="n">
        <f aca="false">G9-G10-G11</f>
        <v>-1</v>
      </c>
      <c r="H25" s="14" t="n">
        <f aca="false">H9-H10-H11</f>
        <v>-1</v>
      </c>
      <c r="I25" s="14" t="n">
        <f aca="false">I9-I10-I11</f>
        <v>1</v>
      </c>
      <c r="J25" s="14" t="n">
        <f aca="false">J9-J10-J11</f>
        <v>0</v>
      </c>
    </row>
    <row r="26" customFormat="false" ht="30" hidden="false" customHeight="true" outlineLevel="0" collapsed="false">
      <c r="A26" s="44" t="s">
        <v>734</v>
      </c>
      <c r="B26" s="44"/>
      <c r="C26" s="44"/>
      <c r="D26" s="44"/>
      <c r="E26" s="44"/>
      <c r="F26" s="44"/>
      <c r="G26" s="44"/>
      <c r="H26" s="44"/>
      <c r="I26" s="44"/>
      <c r="J26" s="44"/>
      <c r="K26" s="44"/>
    </row>
    <row r="27" customFormat="false" ht="15" hidden="false" customHeight="false" outlineLevel="0" collapsed="false">
      <c r="A27" s="35" t="s">
        <v>735</v>
      </c>
      <c r="B27" s="36"/>
      <c r="C27" s="36"/>
      <c r="D27" s="36"/>
      <c r="E27" s="36"/>
      <c r="F27" s="36"/>
      <c r="G27" s="36"/>
      <c r="H27" s="36"/>
      <c r="I27" s="36"/>
      <c r="J27" s="36"/>
      <c r="K27" s="36"/>
    </row>
    <row r="28" customFormat="false" ht="15" hidden="false" customHeight="false" outlineLevel="0" collapsed="false">
      <c r="A28" s="6" t="s">
        <v>736</v>
      </c>
      <c r="B28" s="6" t="s">
        <v>127</v>
      </c>
      <c r="C28" s="6" t="s">
        <v>83</v>
      </c>
      <c r="D28" s="25" t="n">
        <f aca="false">Data_Panel!D24</f>
        <v>1176</v>
      </c>
      <c r="E28" s="25" t="n">
        <f aca="false">Data_Panel!E24</f>
        <v>1480</v>
      </c>
      <c r="F28" s="25" t="n">
        <f aca="false">Data_Panel!F24</f>
        <v>1364</v>
      </c>
      <c r="G28" s="25" t="n">
        <f aca="false">Data_Panel!G24</f>
        <v>1621</v>
      </c>
      <c r="H28" s="25" t="n">
        <f aca="false">Data_Panel!H24</f>
        <v>1756</v>
      </c>
      <c r="I28" s="25" t="n">
        <f aca="false">Data_Panel!I24</f>
        <v>2436</v>
      </c>
      <c r="J28" s="25" t="n">
        <f aca="false">Data_Panel!J24</f>
        <v>1559</v>
      </c>
      <c r="K28" s="39" t="s">
        <v>737</v>
      </c>
    </row>
    <row r="29" customFormat="false" ht="15" hidden="false" customHeight="false" outlineLevel="0" collapsed="false">
      <c r="A29" s="6" t="s">
        <v>738</v>
      </c>
      <c r="B29" s="6" t="s">
        <v>739</v>
      </c>
      <c r="C29" s="6" t="s">
        <v>83</v>
      </c>
      <c r="D29" s="25" t="n">
        <f aca="false">Data_Panel!D23</f>
        <v>749</v>
      </c>
      <c r="E29" s="25" t="n">
        <f aca="false">Data_Panel!E23</f>
        <v>947</v>
      </c>
      <c r="F29" s="25" t="n">
        <f aca="false">Data_Panel!F23</f>
        <v>849</v>
      </c>
      <c r="G29" s="25" t="n">
        <f aca="false">Data_Panel!G23</f>
        <v>1035</v>
      </c>
      <c r="H29" s="25" t="n">
        <f aca="false">Data_Panel!H23</f>
        <v>1156</v>
      </c>
      <c r="I29" s="25" t="n">
        <f aca="false">Data_Panel!I23</f>
        <v>1206</v>
      </c>
      <c r="J29" s="25" t="n">
        <f aca="false">Data_Panel!J23</f>
        <v>854</v>
      </c>
      <c r="K29" s="39" t="s">
        <v>740</v>
      </c>
    </row>
    <row r="30" customFormat="false" ht="15" hidden="false" customHeight="false" outlineLevel="0" collapsed="false">
      <c r="A30" s="6" t="s">
        <v>741</v>
      </c>
      <c r="B30" s="6" t="s">
        <v>742</v>
      </c>
      <c r="C30" s="6" t="s">
        <v>83</v>
      </c>
      <c r="D30" s="14" t="n">
        <f aca="false">D12</f>
        <v>427</v>
      </c>
      <c r="E30" s="14" t="n">
        <f aca="false">E12</f>
        <v>533</v>
      </c>
      <c r="F30" s="14" t="n">
        <f aca="false">F12</f>
        <v>516</v>
      </c>
      <c r="G30" s="14" t="n">
        <f aca="false">G12</f>
        <v>585</v>
      </c>
      <c r="H30" s="14" t="n">
        <f aca="false">H12</f>
        <v>600</v>
      </c>
      <c r="I30" s="14" t="n">
        <f aca="false">I12</f>
        <v>1230</v>
      </c>
      <c r="J30" s="14" t="n">
        <f aca="false">J12</f>
        <v>705</v>
      </c>
    </row>
    <row r="31" customFormat="false" ht="35.05" hidden="false" customHeight="false" outlineLevel="0" collapsed="false">
      <c r="A31" s="6" t="s">
        <v>743</v>
      </c>
      <c r="B31" s="6" t="s">
        <v>744</v>
      </c>
      <c r="C31" s="6" t="s">
        <v>83</v>
      </c>
      <c r="D31" s="14" t="n">
        <f aca="false">IF(Data_Panel!D35="","",Data_Panel!D35)</f>
        <v>0</v>
      </c>
      <c r="E31" s="14" t="n">
        <f aca="false">IF(Data_Panel!E35="","",Data_Panel!E35)</f>
        <v>2</v>
      </c>
      <c r="F31" s="14" t="n">
        <f aca="false">IF(Data_Panel!F35="","",Data_Panel!F35)</f>
        <v>0</v>
      </c>
      <c r="G31" s="14" t="n">
        <f aca="false">IF(Data_Panel!G35="","",Data_Panel!G35)</f>
        <v>3</v>
      </c>
      <c r="H31" s="14" t="n">
        <f aca="false">IF(Data_Panel!H35="","",Data_Panel!H35)</f>
        <v>295</v>
      </c>
      <c r="I31" s="14" t="n">
        <f aca="false">IF(Data_Panel!I35="","",Data_Panel!I35)</f>
        <v>900</v>
      </c>
      <c r="J31" s="14" t="n">
        <f aca="false">IF(Data_Panel!J35="","",Data_Panel!J35)</f>
        <v>61</v>
      </c>
      <c r="K31" s="39" t="s">
        <v>745</v>
      </c>
    </row>
    <row r="32" customFormat="false" ht="15" hidden="false" customHeight="false" outlineLevel="0" collapsed="false">
      <c r="A32" s="6" t="s">
        <v>746</v>
      </c>
      <c r="B32" s="3" t="s">
        <v>747</v>
      </c>
      <c r="C32" s="6" t="s">
        <v>83</v>
      </c>
      <c r="D32" s="26" t="n">
        <f aca="false">IF(Data_Panel!D35="",0,Data_Panel!D35)</f>
        <v>0</v>
      </c>
      <c r="E32" s="26" t="n">
        <f aca="false">IF(Data_Panel!E35="",0,Data_Panel!E35)</f>
        <v>2</v>
      </c>
      <c r="F32" s="26" t="n">
        <f aca="false">IF(Data_Panel!F35="",0,Data_Panel!F35)</f>
        <v>0</v>
      </c>
      <c r="G32" s="26" t="n">
        <f aca="false">IF(Data_Panel!G35="",0,Data_Panel!G35)</f>
        <v>3</v>
      </c>
      <c r="H32" s="26" t="n">
        <f aca="false">IF(Data_Panel!H35="",0,Data_Panel!H35)</f>
        <v>295</v>
      </c>
      <c r="I32" s="26" t="n">
        <f aca="false">IF(Data_Panel!I35="",0,Data_Panel!I35)</f>
        <v>900</v>
      </c>
      <c r="J32" s="26" t="n">
        <f aca="false">IF(Data_Panel!J35="",0,Data_Panel!J35)</f>
        <v>61</v>
      </c>
    </row>
    <row r="33" customFormat="false" ht="15" hidden="false" customHeight="false" outlineLevel="0" collapsed="false">
      <c r="A33" s="6" t="s">
        <v>748</v>
      </c>
      <c r="B33" s="6" t="s">
        <v>749</v>
      </c>
      <c r="C33" s="6"/>
      <c r="D33" s="43" t="str">
        <f aca="false">IF(Data_Panel!D35="","A-03: not disclosed -&gt; 0",IF(D$5="2026-H1","A-04: 61 assumed inside D&amp;A (upper bound)",IF(AND(RIGHT(D$5,2)="H2",Data_Panel!D35&gt;0),"H2 = FY - H1; split not disclosed","FACT")))</f>
        <v>FACT</v>
      </c>
      <c r="E33" s="43" t="str">
        <f aca="false">IF(Data_Panel!E35="","A-03: not disclosed -&gt; 0",IF(E$5="2026-H1","A-04: 61 assumed inside D&amp;A (upper bound)",IF(AND(RIGHT(E$5,2)="H2",Data_Panel!E35&gt;0),"H2 = FY - H1; split not disclosed","FACT")))</f>
        <v>H2 = FY - H1; split not disclosed</v>
      </c>
      <c r="F33" s="43" t="str">
        <f aca="false">IF(Data_Panel!F35="","A-03: not disclosed -&gt; 0",IF(F$5="2026-H1","A-04: 61 assumed inside D&amp;A (upper bound)",IF(AND(RIGHT(F$5,2)="H2",Data_Panel!F35&gt;0),"H2 = FY - H1; split not disclosed","FACT")))</f>
        <v>FACT</v>
      </c>
      <c r="G33" s="43" t="str">
        <f aca="false">IF(Data_Panel!G35="","A-03: not disclosed -&gt; 0",IF(G$5="2026-H1","A-04: 61 assumed inside D&amp;A (upper bound)",IF(AND(RIGHT(G$5,2)="H2",Data_Panel!G35&gt;0),"H2 = FY - H1; split not disclosed","FACT")))</f>
        <v>H2 = FY - H1; split not disclosed</v>
      </c>
      <c r="H33" s="43" t="str">
        <f aca="false">IF(Data_Panel!H35="","A-03: not disclosed -&gt; 0",IF(H$5="2026-H1","A-04: 61 assumed inside D&amp;A (upper bound)",IF(AND(RIGHT(H$5,2)="H2",Data_Panel!H35&gt;0),"H2 = FY - H1; split not disclosed","FACT")))</f>
        <v>FACT</v>
      </c>
      <c r="I33" s="43" t="str">
        <f aca="false">IF(Data_Panel!I35="","A-03: not disclosed -&gt; 0",IF(I$5="2026-H1","A-04: 61 assumed inside D&amp;A (upper bound)",IF(AND(RIGHT(I$5,2)="H2",Data_Panel!I35&gt;0),"H2 = FY - H1; split not disclosed","FACT")))</f>
        <v>H2 = FY - H1; split not disclosed</v>
      </c>
      <c r="J33" s="43" t="str">
        <f aca="false">IF(Data_Panel!J35="","A-03: not disclosed -&gt; 0",IF(J$5="2026-H1","A-04: 61 assumed inside D&amp;A (upper bound)",IF(AND(RIGHT(J$5,2)="H2",Data_Panel!J35&gt;0),"H2 = FY - H1; split not disclosed","FACT")))</f>
        <v>A-04: 61 assumed inside D&amp;A (upper bound)</v>
      </c>
    </row>
    <row r="34" customFormat="false" ht="15" hidden="false" customHeight="false" outlineLevel="0" collapsed="false">
      <c r="A34" s="45" t="s">
        <v>750</v>
      </c>
      <c r="B34" s="46" t="s">
        <v>751</v>
      </c>
      <c r="C34" s="45" t="s">
        <v>83</v>
      </c>
      <c r="D34" s="47" t="n">
        <f aca="false">D28-D32</f>
        <v>1176</v>
      </c>
      <c r="E34" s="47" t="n">
        <f aca="false">E28-E32</f>
        <v>1478</v>
      </c>
      <c r="F34" s="47" t="n">
        <f aca="false">F28-F32</f>
        <v>1364</v>
      </c>
      <c r="G34" s="47" t="n">
        <f aca="false">G28-G32</f>
        <v>1618</v>
      </c>
      <c r="H34" s="47" t="n">
        <f aca="false">H28-H32</f>
        <v>1461</v>
      </c>
      <c r="I34" s="47" t="n">
        <f aca="false">I28-I32</f>
        <v>1536</v>
      </c>
      <c r="J34" s="47" t="n">
        <f aca="false">J28-J32</f>
        <v>1498</v>
      </c>
    </row>
    <row r="35" customFormat="false" ht="15" hidden="false" customHeight="false" outlineLevel="0" collapsed="false">
      <c r="A35" s="6" t="s">
        <v>752</v>
      </c>
      <c r="B35" s="6" t="s">
        <v>753</v>
      </c>
      <c r="C35" s="6" t="s">
        <v>106</v>
      </c>
      <c r="D35" s="28" t="n">
        <f aca="false">D28/D8</f>
        <v>0.0622485708236291</v>
      </c>
      <c r="E35" s="28" t="n">
        <f aca="false">E28/E8</f>
        <v>0.0801863791515414</v>
      </c>
      <c r="F35" s="28" t="n">
        <f aca="false">F28/F8</f>
        <v>0.0770839220118678</v>
      </c>
      <c r="G35" s="28" t="n">
        <f aca="false">G28/G8</f>
        <v>0.0864856212986182</v>
      </c>
      <c r="H35" s="28" t="n">
        <f aca="false">H28/H8</f>
        <v>0.108811500805552</v>
      </c>
      <c r="I35" s="28" t="n">
        <f aca="false">I28/I8</f>
        <v>0.151804075528136</v>
      </c>
      <c r="J35" s="28" t="n">
        <f aca="false">J28/J8</f>
        <v>0.102849980208471</v>
      </c>
    </row>
    <row r="36" customFormat="false" ht="15" hidden="false" customHeight="false" outlineLevel="0" collapsed="false">
      <c r="A36" s="6" t="s">
        <v>754</v>
      </c>
      <c r="B36" s="3" t="s">
        <v>755</v>
      </c>
      <c r="C36" s="6" t="s">
        <v>106</v>
      </c>
      <c r="D36" s="32" t="n">
        <f aca="false">D34/D8</f>
        <v>0.0622485708236291</v>
      </c>
      <c r="E36" s="32" t="n">
        <f aca="false">E34/E8</f>
        <v>0.080078019179715</v>
      </c>
      <c r="F36" s="32" t="n">
        <f aca="false">F34/F8</f>
        <v>0.0770839220118678</v>
      </c>
      <c r="G36" s="32" t="n">
        <f aca="false">G34/G8</f>
        <v>0.0863255615429761</v>
      </c>
      <c r="H36" s="32" t="n">
        <f aca="false">H34/H8</f>
        <v>0.0905316643945966</v>
      </c>
      <c r="I36" s="32" t="n">
        <f aca="false">I34/I8</f>
        <v>0.0957188259487755</v>
      </c>
      <c r="J36" s="32" t="n">
        <f aca="false">J34/J8</f>
        <v>0.0988257025992875</v>
      </c>
    </row>
    <row r="37" customFormat="false" ht="15" hidden="false" customHeight="false" outlineLevel="0" collapsed="false">
      <c r="A37" s="6" t="s">
        <v>756</v>
      </c>
      <c r="B37" s="6" t="s">
        <v>757</v>
      </c>
      <c r="C37" s="6" t="s">
        <v>83</v>
      </c>
      <c r="D37" s="14" t="n">
        <f aca="false">IF(D32=0,D29,IF(D$5="2025-H1",D29-D32,"n/a"))</f>
        <v>749</v>
      </c>
      <c r="E37" s="14" t="str">
        <f aca="false">IF(E32=0,E29,IF(E$5="2025-H1",E29-E32,"n/a"))</f>
        <v>n/a</v>
      </c>
      <c r="F37" s="14" t="n">
        <f aca="false">IF(F32=0,F29,IF(F$5="2025-H1",F29-F32,"n/a"))</f>
        <v>849</v>
      </c>
      <c r="G37" s="14" t="str">
        <f aca="false">IF(G32=0,G29,IF(G$5="2025-H1",G29-G32,"n/a"))</f>
        <v>n/a</v>
      </c>
      <c r="H37" s="14" t="n">
        <f aca="false">IF(H32=0,H29,IF(H$5="2025-H1",H29-H32,"n/a"))</f>
        <v>861</v>
      </c>
      <c r="I37" s="14" t="str">
        <f aca="false">IF(I32=0,I29,IF(I$5="2025-H1",I29-I32,"n/a"))</f>
        <v>n/a</v>
      </c>
      <c r="J37" s="14" t="str">
        <f aca="false">IF(J32=0,J29,IF(J$5="2025-H1",J29-J32,"n/a"))</f>
        <v>n/a</v>
      </c>
      <c r="K37" s="39" t="s">
        <v>758</v>
      </c>
    </row>
    <row r="38" customFormat="false" ht="15" hidden="false" customHeight="false" outlineLevel="0" collapsed="false">
      <c r="A38" s="6" t="s">
        <v>759</v>
      </c>
      <c r="B38" s="6" t="s">
        <v>760</v>
      </c>
      <c r="C38" s="6" t="s">
        <v>83</v>
      </c>
      <c r="F38" s="14" t="n">
        <f aca="false">F28-D28</f>
        <v>188</v>
      </c>
      <c r="G38" s="14" t="n">
        <f aca="false">G28-E28</f>
        <v>141</v>
      </c>
      <c r="H38" s="14" t="n">
        <f aca="false">H28-F28</f>
        <v>392</v>
      </c>
      <c r="I38" s="14" t="n">
        <f aca="false">I28-G28</f>
        <v>815</v>
      </c>
      <c r="J38" s="14" t="n">
        <f aca="false">J28-H28</f>
        <v>-197</v>
      </c>
    </row>
    <row r="39" customFormat="false" ht="15" hidden="false" customHeight="false" outlineLevel="0" collapsed="false">
      <c r="A39" s="6" t="s">
        <v>761</v>
      </c>
      <c r="B39" s="3" t="s">
        <v>762</v>
      </c>
      <c r="C39" s="6" t="s">
        <v>83</v>
      </c>
      <c r="F39" s="26" t="n">
        <f aca="false">F34-D34</f>
        <v>188</v>
      </c>
      <c r="G39" s="26" t="n">
        <f aca="false">G34-E34</f>
        <v>140</v>
      </c>
      <c r="H39" s="26" t="n">
        <f aca="false">H34-F34</f>
        <v>97</v>
      </c>
      <c r="I39" s="26" t="n">
        <f aca="false">I34-G34</f>
        <v>-82</v>
      </c>
      <c r="J39" s="26" t="n">
        <f aca="false">J34-H34</f>
        <v>37</v>
      </c>
    </row>
    <row r="40" customFormat="false" ht="15" hidden="false" customHeight="false" outlineLevel="0" collapsed="false">
      <c r="A40" s="6" t="s">
        <v>763</v>
      </c>
      <c r="B40" s="6" t="s">
        <v>764</v>
      </c>
      <c r="C40" s="6" t="s">
        <v>83</v>
      </c>
      <c r="D40" s="14" t="n">
        <f aca="false">D28-D12-D29</f>
        <v>0</v>
      </c>
      <c r="E40" s="14" t="n">
        <f aca="false">E28-E12-E29</f>
        <v>0</v>
      </c>
      <c r="F40" s="14" t="n">
        <f aca="false">F28-F12-F29</f>
        <v>-1</v>
      </c>
      <c r="G40" s="14" t="n">
        <f aca="false">G28-G12-G29</f>
        <v>1</v>
      </c>
      <c r="H40" s="14" t="n">
        <f aca="false">H28-H12-H29</f>
        <v>0</v>
      </c>
      <c r="I40" s="14" t="n">
        <f aca="false">I28-I12-I29</f>
        <v>0</v>
      </c>
      <c r="J40" s="14" t="n">
        <f aca="false">J28-J12-J29</f>
        <v>0</v>
      </c>
    </row>
  </sheetData>
  <mergeCells count="2">
    <mergeCell ref="A7:K7"/>
    <mergeCell ref="A26:K26"/>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472C4"/>
    <pageSetUpPr fitToPage="true"/>
  </sheetPr>
  <dimension ref="A1:K52"/>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52"/>
    <col collapsed="false" customWidth="true" hidden="false" outlineLevel="0" max="3" min="3" style="0" width="8"/>
    <col collapsed="false" customWidth="true" hidden="false" outlineLevel="0" max="10" min="4" style="0" width="12"/>
    <col collapsed="false" customWidth="true" hidden="false" outlineLevel="0" max="11" min="11" style="0" width="70"/>
  </cols>
  <sheetData>
    <row r="1" customFormat="false" ht="17.35" hidden="false" customHeight="false" outlineLevel="0" collapsed="false">
      <c r="A1" s="1" t="s">
        <v>765</v>
      </c>
    </row>
    <row r="2" customFormat="false" ht="15" hidden="false" customHeight="false" outlineLevel="0" collapsed="false">
      <c r="A2" s="2" t="s">
        <v>766</v>
      </c>
    </row>
    <row r="3" customFormat="false" ht="15" hidden="false" customHeight="false" outlineLevel="0" collapsed="false">
      <c r="A3" s="3" t="s">
        <v>767</v>
      </c>
    </row>
    <row r="5" customFormat="false" ht="15" hidden="false" customHeight="false" outlineLevel="0" collapsed="false">
      <c r="A5" s="13" t="s">
        <v>571</v>
      </c>
      <c r="B5" s="13" t="s">
        <v>572</v>
      </c>
      <c r="C5" s="13" t="s">
        <v>573</v>
      </c>
      <c r="D5" s="13" t="str">
        <f aca="false">Data_Panel!D$5</f>
        <v>2023-H1</v>
      </c>
      <c r="E5" s="13" t="str">
        <f aca="false">Data_Panel!E$5</f>
        <v>2023-H2</v>
      </c>
      <c r="F5" s="13" t="str">
        <f aca="false">Data_Panel!F$5</f>
        <v>2024-H1</v>
      </c>
      <c r="G5" s="13" t="str">
        <f aca="false">Data_Panel!G$5</f>
        <v>2024-H2</v>
      </c>
      <c r="H5" s="13" t="str">
        <f aca="false">Data_Panel!H$5</f>
        <v>2025-H1</v>
      </c>
      <c r="I5" s="13" t="str">
        <f aca="false">Data_Panel!I$5</f>
        <v>2025-H2</v>
      </c>
      <c r="J5" s="13" t="str">
        <f aca="false">Data_Panel!J$5</f>
        <v>2026-H1</v>
      </c>
      <c r="K5" s="13" t="s">
        <v>574</v>
      </c>
    </row>
    <row r="6" customFormat="false" ht="15" hidden="false" customHeight="false" outlineLevel="0" collapsed="false">
      <c r="A6" s="35" t="s">
        <v>768</v>
      </c>
      <c r="B6" s="36"/>
      <c r="C6" s="36"/>
      <c r="D6" s="36"/>
      <c r="E6" s="36"/>
      <c r="F6" s="36"/>
      <c r="G6" s="36"/>
      <c r="H6" s="36"/>
      <c r="I6" s="36"/>
      <c r="J6" s="36"/>
      <c r="K6" s="36"/>
    </row>
    <row r="7" customFormat="false" ht="15" hidden="false" customHeight="false" outlineLevel="0" collapsed="false">
      <c r="A7" s="6" t="s">
        <v>769</v>
      </c>
      <c r="B7" s="6" t="s">
        <v>98</v>
      </c>
      <c r="C7" s="6" t="s">
        <v>83</v>
      </c>
      <c r="D7" s="25" t="n">
        <f aca="false">Data_Panel!D13</f>
        <v>18892</v>
      </c>
      <c r="E7" s="25" t="n">
        <f aca="false">Data_Panel!E13</f>
        <v>18457</v>
      </c>
      <c r="F7" s="25" t="n">
        <f aca="false">Data_Panel!F13</f>
        <v>17695</v>
      </c>
      <c r="G7" s="25" t="n">
        <f aca="false">Data_Panel!G13</f>
        <v>18743</v>
      </c>
      <c r="H7" s="25" t="n">
        <f aca="false">Data_Panel!H13</f>
        <v>16138</v>
      </c>
      <c r="I7" s="25" t="n">
        <f aca="false">Data_Panel!I13</f>
        <v>16047</v>
      </c>
      <c r="J7" s="25" t="n">
        <f aca="false">Data_Panel!J13</f>
        <v>15158</v>
      </c>
    </row>
    <row r="8" customFormat="false" ht="15" hidden="false" customHeight="false" outlineLevel="0" collapsed="false">
      <c r="A8" s="6" t="s">
        <v>770</v>
      </c>
      <c r="B8" s="6" t="s">
        <v>771</v>
      </c>
      <c r="C8" s="6" t="s">
        <v>167</v>
      </c>
      <c r="D8" s="25" t="n">
        <f aca="false">Data_Panel!D42</f>
        <v>170802</v>
      </c>
      <c r="E8" s="25" t="n">
        <f aca="false">Data_Panel!E42</f>
        <v>162803</v>
      </c>
      <c r="F8" s="25" t="n">
        <f aca="false">Data_Panel!F42</f>
        <v>151944</v>
      </c>
      <c r="G8" s="25" t="n">
        <f aca="false">Data_Panel!G42</f>
        <v>160676</v>
      </c>
      <c r="H8" s="25" t="n">
        <f aca="false">Data_Panel!H42</f>
        <v>135142</v>
      </c>
      <c r="I8" s="25" t="n">
        <f aca="false">Data_Panel!I42</f>
        <v>130521</v>
      </c>
      <c r="J8" s="25" t="n">
        <f aca="false">Data_Panel!J42</f>
        <v>120508</v>
      </c>
      <c r="K8" s="39" t="s">
        <v>772</v>
      </c>
    </row>
    <row r="9" customFormat="false" ht="15" hidden="false" customHeight="false" outlineLevel="0" collapsed="false">
      <c r="A9" s="6" t="s">
        <v>773</v>
      </c>
      <c r="B9" s="6" t="s">
        <v>774</v>
      </c>
      <c r="C9" s="6" t="s">
        <v>167</v>
      </c>
      <c r="D9" s="25" t="n">
        <f aca="false">Data_Panel!D41</f>
        <v>167354</v>
      </c>
      <c r="E9" s="25" t="n">
        <f aca="false">Data_Panel!E41</f>
        <v>152867</v>
      </c>
      <c r="F9" s="25" t="n">
        <f aca="false">Data_Panel!F41</f>
        <v>155945</v>
      </c>
      <c r="G9" s="25" t="n">
        <f aca="false">Data_Panel!G41</f>
        <v>154773</v>
      </c>
      <c r="H9" s="25" t="n">
        <f aca="false">Data_Panel!H41</f>
        <v>146391</v>
      </c>
      <c r="I9" s="25" t="n">
        <f aca="false">Data_Panel!I41</f>
        <v>133058</v>
      </c>
      <c r="J9" s="25" t="n">
        <f aca="false">Data_Panel!J41</f>
        <v>122306</v>
      </c>
    </row>
    <row r="10" customFormat="false" ht="15" hidden="false" customHeight="false" outlineLevel="0" collapsed="false">
      <c r="A10" s="6" t="s">
        <v>775</v>
      </c>
      <c r="B10" s="6" t="s">
        <v>776</v>
      </c>
      <c r="C10" s="6" t="s">
        <v>167</v>
      </c>
      <c r="D10" s="14" t="n">
        <f aca="false">D8-D9</f>
        <v>3448</v>
      </c>
      <c r="E10" s="14" t="n">
        <f aca="false">E8-E9</f>
        <v>9936</v>
      </c>
      <c r="F10" s="14" t="n">
        <f aca="false">F8-F9</f>
        <v>-4001</v>
      </c>
      <c r="G10" s="14" t="n">
        <f aca="false">G8-G9</f>
        <v>5903</v>
      </c>
      <c r="H10" s="14" t="n">
        <f aca="false">H8-H9</f>
        <v>-11249</v>
      </c>
      <c r="I10" s="14" t="n">
        <f aca="false">I8-I9</f>
        <v>-2537</v>
      </c>
      <c r="J10" s="14" t="n">
        <f aca="false">J8-J9</f>
        <v>-1798</v>
      </c>
      <c r="K10" s="39" t="s">
        <v>777</v>
      </c>
    </row>
    <row r="11" customFormat="false" ht="23.85" hidden="false" customHeight="false" outlineLevel="0" collapsed="false">
      <c r="A11" s="45" t="s">
        <v>778</v>
      </c>
      <c r="B11" s="46" t="s">
        <v>779</v>
      </c>
      <c r="C11" s="45" t="s">
        <v>172</v>
      </c>
      <c r="D11" s="54" t="n">
        <f aca="false">D7*1000/D8</f>
        <v>110.607604126415</v>
      </c>
      <c r="E11" s="54" t="n">
        <f aca="false">E7*1000/E8</f>
        <v>113.370146741768</v>
      </c>
      <c r="F11" s="54" t="n">
        <f aca="false">F7*1000/F8</f>
        <v>116.457379034381</v>
      </c>
      <c r="G11" s="54" t="n">
        <f aca="false">G7*1000/G8</f>
        <v>116.650899947721</v>
      </c>
      <c r="H11" s="54" t="n">
        <f aca="false">H7*1000/H8</f>
        <v>119.415133711207</v>
      </c>
      <c r="I11" s="54" t="n">
        <f aca="false">I7*1000/I8</f>
        <v>122.945732870573</v>
      </c>
      <c r="J11" s="54" t="n">
        <f aca="false">J7*1000/J8</f>
        <v>125.784180303382</v>
      </c>
      <c r="K11" s="39" t="s">
        <v>780</v>
      </c>
    </row>
    <row r="12" customFormat="false" ht="15" hidden="false" customHeight="false" outlineLevel="0" collapsed="false">
      <c r="A12" s="6" t="s">
        <v>781</v>
      </c>
      <c r="B12" s="6" t="s">
        <v>782</v>
      </c>
      <c r="C12" s="6" t="s">
        <v>172</v>
      </c>
      <c r="D12" s="34" t="n">
        <f aca="false">IF(Data_Panel!D43="","",Data_Panel!D43)</f>
        <v>111</v>
      </c>
      <c r="E12" s="34" t="str">
        <f aca="false">IF(Data_Panel!E43="","",Data_Panel!E43)</f>
        <v/>
      </c>
      <c r="F12" s="34" t="n">
        <f aca="false">IF(Data_Panel!F43="","",Data_Panel!F43)</f>
        <v>116</v>
      </c>
      <c r="G12" s="34" t="str">
        <f aca="false">IF(Data_Panel!G43="","",Data_Panel!G43)</f>
        <v/>
      </c>
      <c r="H12" s="34" t="n">
        <f aca="false">IF(Data_Panel!H43="","",Data_Panel!H43)</f>
        <v>119</v>
      </c>
      <c r="I12" s="34" t="str">
        <f aca="false">IF(Data_Panel!I43="","",Data_Panel!I43)</f>
        <v/>
      </c>
      <c r="J12" s="34" t="n">
        <f aca="false">IF(Data_Panel!J43="","",Data_Panel!J43)</f>
        <v>126</v>
      </c>
      <c r="K12" s="39" t="s">
        <v>783</v>
      </c>
    </row>
    <row r="13" customFormat="false" ht="15" hidden="false" customHeight="false" outlineLevel="0" collapsed="false">
      <c r="A13" s="6" t="s">
        <v>784</v>
      </c>
      <c r="B13" s="6" t="s">
        <v>785</v>
      </c>
      <c r="C13" s="6" t="s">
        <v>172</v>
      </c>
      <c r="D13" s="34" t="n">
        <f aca="false">IF(D12="",0,D11-D12)</f>
        <v>-0.392395873584618</v>
      </c>
      <c r="E13" s="34" t="n">
        <f aca="false">IF(E12="",0,E11-E12)</f>
        <v>0</v>
      </c>
      <c r="F13" s="34" t="n">
        <f aca="false">IF(F12="",0,F11-F12)</f>
        <v>0.457379034381091</v>
      </c>
      <c r="G13" s="34" t="n">
        <f aca="false">IF(G12="",0,G11-G12)</f>
        <v>0</v>
      </c>
      <c r="H13" s="34" t="n">
        <f aca="false">IF(H12="",0,H11-H12)</f>
        <v>0.415133711207474</v>
      </c>
      <c r="I13" s="34" t="n">
        <f aca="false">IF(I12="",0,I11-I12)</f>
        <v>0</v>
      </c>
      <c r="J13" s="34" t="n">
        <f aca="false">IF(J12="",0,J11-J12)</f>
        <v>-0.215819696617658</v>
      </c>
    </row>
    <row r="14" customFormat="false" ht="15" hidden="false" customHeight="false" outlineLevel="0" collapsed="false">
      <c r="A14" s="6" t="s">
        <v>786</v>
      </c>
      <c r="B14" s="6" t="s">
        <v>787</v>
      </c>
      <c r="C14" s="6" t="s">
        <v>172</v>
      </c>
      <c r="D14" s="34" t="n">
        <f aca="false">D7*1000/D9</f>
        <v>112.886456254407</v>
      </c>
      <c r="E14" s="34" t="n">
        <f aca="false">E7*1000/E9</f>
        <v>120.738943002741</v>
      </c>
      <c r="F14" s="34" t="n">
        <f aca="false">F7*1000/F9</f>
        <v>113.469492449261</v>
      </c>
      <c r="G14" s="34" t="n">
        <f aca="false">G7*1000/G9</f>
        <v>121.099933450925</v>
      </c>
      <c r="H14" s="34" t="n">
        <f aca="false">H7*1000/H9</f>
        <v>110.239017425935</v>
      </c>
      <c r="I14" s="34" t="n">
        <f aca="false">I7*1000/I9</f>
        <v>120.601542184611</v>
      </c>
      <c r="J14" s="34" t="n">
        <f aca="false">J7*1000/J9</f>
        <v>123.935048157899</v>
      </c>
    </row>
    <row r="15" customFormat="false" ht="15" hidden="false" customHeight="false" outlineLevel="0" collapsed="false">
      <c r="A15" s="6" t="s">
        <v>788</v>
      </c>
      <c r="B15" s="6" t="s">
        <v>789</v>
      </c>
      <c r="C15" s="6" t="s">
        <v>106</v>
      </c>
      <c r="D15" s="28" t="n">
        <f aca="false">IF(Data_Panel!D44="","",Data_Panel!D44/100)</f>
        <v>0.108</v>
      </c>
      <c r="E15" s="28" t="str">
        <f aca="false">IF(Data_Panel!E44="","",Data_Panel!E44/100)</f>
        <v/>
      </c>
      <c r="F15" s="28" t="n">
        <f aca="false">IF(Data_Panel!F44="","",Data_Panel!F44/100)</f>
        <v>0.059</v>
      </c>
      <c r="G15" s="28" t="str">
        <f aca="false">IF(Data_Panel!G44="","",Data_Panel!G44/100)</f>
        <v/>
      </c>
      <c r="H15" s="28" t="n">
        <f aca="false">IF(Data_Panel!H44="","",Data_Panel!H44/100)</f>
        <v>0.235</v>
      </c>
      <c r="I15" s="28" t="str">
        <f aca="false">IF(Data_Panel!I44="","",Data_Panel!I44/100)</f>
        <v/>
      </c>
      <c r="J15" s="28" t="n">
        <f aca="false">IF(Data_Panel!J44="","",Data_Panel!J44/100)</f>
        <v>0.194</v>
      </c>
    </row>
    <row r="16" customFormat="false" ht="15" hidden="false" customHeight="false" outlineLevel="0" collapsed="false">
      <c r="A16" s="35" t="s">
        <v>790</v>
      </c>
      <c r="B16" s="36"/>
      <c r="C16" s="36"/>
      <c r="D16" s="36"/>
      <c r="E16" s="36"/>
      <c r="F16" s="36"/>
      <c r="G16" s="36"/>
      <c r="H16" s="36"/>
      <c r="I16" s="36"/>
      <c r="J16" s="36"/>
      <c r="K16" s="36"/>
    </row>
    <row r="17" customFormat="false" ht="15" hidden="false" customHeight="false" outlineLevel="0" collapsed="false">
      <c r="A17" s="6" t="s">
        <v>791</v>
      </c>
      <c r="B17" s="6" t="s">
        <v>792</v>
      </c>
      <c r="C17" s="6" t="s">
        <v>106</v>
      </c>
      <c r="F17" s="28" t="n">
        <f aca="false">F8/D8-1</f>
        <v>-0.110408543225489</v>
      </c>
      <c r="G17" s="28" t="n">
        <f aca="false">G8/E8-1</f>
        <v>-0.0130648698119814</v>
      </c>
      <c r="H17" s="28" t="n">
        <f aca="false">H8/F8-1</f>
        <v>-0.110580213762965</v>
      </c>
      <c r="I17" s="28" t="n">
        <f aca="false">I8/G8-1</f>
        <v>-0.187675819661928</v>
      </c>
      <c r="J17" s="28" t="n">
        <f aca="false">J8/H8-1</f>
        <v>-0.108286099066167</v>
      </c>
    </row>
    <row r="18" customFormat="false" ht="15" hidden="false" customHeight="false" outlineLevel="0" collapsed="false">
      <c r="A18" s="6" t="s">
        <v>793</v>
      </c>
      <c r="B18" s="6" t="s">
        <v>794</v>
      </c>
      <c r="C18" s="6" t="s">
        <v>106</v>
      </c>
      <c r="F18" s="28" t="n">
        <f aca="false">F11/D11-1</f>
        <v>0.0528876378271417</v>
      </c>
      <c r="G18" s="28" t="n">
        <f aca="false">G11/E11-1</f>
        <v>0.0289384225057594</v>
      </c>
      <c r="H18" s="28" t="n">
        <f aca="false">H11/F11-1</f>
        <v>0.0253977438042219</v>
      </c>
      <c r="I18" s="28" t="n">
        <f aca="false">I11/G11-1</f>
        <v>0.0539630035059551</v>
      </c>
      <c r="J18" s="28" t="n">
        <f aca="false">J11/H11-1</f>
        <v>0.0533353386144315</v>
      </c>
    </row>
    <row r="19" customFormat="false" ht="15" hidden="false" customHeight="false" outlineLevel="0" collapsed="false">
      <c r="A19" s="6" t="s">
        <v>795</v>
      </c>
      <c r="B19" s="3" t="s">
        <v>796</v>
      </c>
      <c r="C19" s="6" t="s">
        <v>83</v>
      </c>
      <c r="F19" s="26" t="n">
        <f aca="false">F7-D7</f>
        <v>-1197</v>
      </c>
      <c r="G19" s="26" t="n">
        <f aca="false">G7-E7</f>
        <v>286</v>
      </c>
      <c r="H19" s="26" t="n">
        <f aca="false">H7-F7</f>
        <v>-1557</v>
      </c>
      <c r="I19" s="26" t="n">
        <f aca="false">I7-G7</f>
        <v>-2696</v>
      </c>
      <c r="J19" s="26" t="n">
        <f aca="false">J7-H7</f>
        <v>-980</v>
      </c>
    </row>
    <row r="20" customFormat="false" ht="15" hidden="false" customHeight="false" outlineLevel="0" collapsed="false">
      <c r="A20" s="6" t="s">
        <v>797</v>
      </c>
      <c r="B20" s="6" t="s">
        <v>798</v>
      </c>
      <c r="C20" s="6" t="s">
        <v>83</v>
      </c>
      <c r="F20" s="14" t="n">
        <f aca="false">(F8-D8)*D11/1000</f>
        <v>-2085.83819861594</v>
      </c>
      <c r="G20" s="14" t="n">
        <f aca="false">(G8-E8)*E11/1000</f>
        <v>-241.13830211974</v>
      </c>
      <c r="H20" s="14" t="n">
        <f aca="false">(H8-F8)*F11/1000</f>
        <v>-1956.71688253567</v>
      </c>
      <c r="I20" s="14" t="n">
        <f aca="false">(I8-G8)*G11/1000</f>
        <v>-3517.60788792352</v>
      </c>
      <c r="J20" s="14" t="n">
        <f aca="false">(J8-H8)*H11/1000</f>
        <v>-1747.52106672981</v>
      </c>
    </row>
    <row r="21" customFormat="false" ht="23.85" hidden="false" customHeight="false" outlineLevel="0" collapsed="false">
      <c r="A21" s="6" t="s">
        <v>799</v>
      </c>
      <c r="B21" s="6" t="s">
        <v>800</v>
      </c>
      <c r="C21" s="6" t="s">
        <v>83</v>
      </c>
      <c r="F21" s="14" t="n">
        <f aca="false">(F11-D11)*F8/1000</f>
        <v>888.838198615942</v>
      </c>
      <c r="G21" s="14" t="n">
        <f aca="false">(G11-E11)*G8/1000</f>
        <v>527.138302119739</v>
      </c>
      <c r="H21" s="14" t="n">
        <f aca="false">(H11-F11)*H8/1000</f>
        <v>399.716882535671</v>
      </c>
      <c r="I21" s="14" t="n">
        <f aca="false">(I11-G11)*I8/1000</f>
        <v>821.607887923525</v>
      </c>
      <c r="J21" s="14" t="n">
        <f aca="false">(J11-H11)*J8/1000</f>
        <v>767.521066729809</v>
      </c>
      <c r="K21" s="39" t="s">
        <v>801</v>
      </c>
    </row>
    <row r="22" customFormat="false" ht="15" hidden="false" customHeight="false" outlineLevel="0" collapsed="false">
      <c r="A22" s="6" t="s">
        <v>802</v>
      </c>
      <c r="B22" s="6" t="s">
        <v>803</v>
      </c>
      <c r="C22" s="6" t="s">
        <v>83</v>
      </c>
      <c r="D22" s="34"/>
      <c r="E22" s="34"/>
      <c r="F22" s="34" t="n">
        <f aca="false">F20+F21-F19</f>
        <v>0</v>
      </c>
      <c r="G22" s="34" t="n">
        <f aca="false">G20+G21-G19</f>
        <v>0</v>
      </c>
      <c r="H22" s="34" t="n">
        <f aca="false">H20+H21-H19</f>
        <v>0</v>
      </c>
      <c r="I22" s="34" t="n">
        <f aca="false">I20+I21-I19</f>
        <v>0</v>
      </c>
      <c r="J22" s="34" t="n">
        <f aca="false">J20+J21-J19</f>
        <v>0</v>
      </c>
    </row>
    <row r="23" customFormat="false" ht="15" hidden="false" customHeight="false" outlineLevel="0" collapsed="false">
      <c r="A23" s="35" t="s">
        <v>804</v>
      </c>
      <c r="B23" s="36"/>
      <c r="C23" s="36"/>
      <c r="D23" s="36"/>
      <c r="E23" s="36"/>
      <c r="F23" s="36"/>
      <c r="G23" s="36"/>
      <c r="H23" s="36"/>
      <c r="I23" s="36"/>
      <c r="J23" s="36"/>
      <c r="K23" s="36"/>
    </row>
    <row r="24" customFormat="false" ht="15" hidden="false" customHeight="false" outlineLevel="0" collapsed="false">
      <c r="A24" s="6"/>
      <c r="B24" s="6" t="s">
        <v>368</v>
      </c>
      <c r="C24" s="6" t="s">
        <v>167</v>
      </c>
      <c r="D24" s="14" t="n">
        <f aca="false">SUMIFS(Data_Mix!$F$6:$F$88,Data_Mix!$A$6:$A$88,D$5,Data_Mix!$B$6:$B$88,"model",Data_Mix!$C$6:$C$88,"911")</f>
        <v>26124</v>
      </c>
      <c r="E24" s="14" t="n">
        <f aca="false">SUMIFS(Data_Mix!$F$6:$F$88,Data_Mix!$A$6:$A$88,E$5,Data_Mix!$B$6:$B$88,"model",Data_Mix!$C$6:$C$88,"911")</f>
        <v>24022</v>
      </c>
      <c r="F24" s="14" t="n">
        <f aca="false">SUMIFS(Data_Mix!$F$6:$F$88,Data_Mix!$A$6:$A$88,F$5,Data_Mix!$B$6:$B$88,"model",Data_Mix!$C$6:$C$88,"911")</f>
        <v>28212</v>
      </c>
      <c r="G24" s="14" t="n">
        <f aca="false">SUMIFS(Data_Mix!$F$6:$F$88,Data_Mix!$A$6:$A$88,G$5,Data_Mix!$B$6:$B$88,"model",Data_Mix!$C$6:$C$88,"911")</f>
        <v>22729</v>
      </c>
      <c r="H24" s="14" t="n">
        <f aca="false">SUMIFS(Data_Mix!$F$6:$F$88,Data_Mix!$A$6:$A$88,H$5,Data_Mix!$B$6:$B$88,"model",Data_Mix!$C$6:$C$88,"911")</f>
        <v>25608</v>
      </c>
      <c r="I24" s="14" t="n">
        <f aca="false">SUMIFS(Data_Mix!$F$6:$F$88,Data_Mix!$A$6:$A$88,I$5,Data_Mix!$B$6:$B$88,"model",Data_Mix!$C$6:$C$88,"911")</f>
        <v>25975</v>
      </c>
      <c r="J24" s="14" t="n">
        <f aca="false">SUMIFS(Data_Mix!$F$6:$F$88,Data_Mix!$A$6:$A$88,J$5,Data_Mix!$B$6:$B$88,"model",Data_Mix!$C$6:$C$88,"911")</f>
        <v>30534</v>
      </c>
      <c r="K24" s="39" t="s">
        <v>805</v>
      </c>
    </row>
    <row r="25" customFormat="false" ht="15" hidden="false" customHeight="false" outlineLevel="0" collapsed="false">
      <c r="A25" s="6"/>
      <c r="B25" s="6" t="s">
        <v>365</v>
      </c>
      <c r="C25" s="6" t="s">
        <v>167</v>
      </c>
      <c r="D25" s="14" t="n">
        <f aca="false">SUMIFS(Data_Mix!$F$6:$F$88,Data_Mix!$A$6:$A$88,D$5,Data_Mix!$B$6:$B$88,"model",Data_Mix!$C$6:$C$88,"718")</f>
        <v>11035</v>
      </c>
      <c r="E25" s="14" t="n">
        <f aca="false">SUMIFS(Data_Mix!$F$6:$F$88,Data_Mix!$A$6:$A$88,E$5,Data_Mix!$B$6:$B$88,"model",Data_Mix!$C$6:$C$88,"718")</f>
        <v>9483</v>
      </c>
      <c r="F25" s="14" t="n">
        <f aca="false">SUMIFS(Data_Mix!$F$6:$F$88,Data_Mix!$A$6:$A$88,F$5,Data_Mix!$B$6:$B$88,"model",Data_Mix!$C$6:$C$88,"718")</f>
        <v>11886</v>
      </c>
      <c r="G25" s="14" t="n">
        <f aca="false">SUMIFS(Data_Mix!$F$6:$F$88,Data_Mix!$A$6:$A$88,G$5,Data_Mix!$B$6:$B$88,"model",Data_Mix!$C$6:$C$88,"718")</f>
        <v>11784</v>
      </c>
      <c r="H25" s="14" t="n">
        <f aca="false">SUMIFS(Data_Mix!$F$6:$F$88,Data_Mix!$A$6:$A$88,H$5,Data_Mix!$B$6:$B$88,"model",Data_Mix!$C$6:$C$88,"718")</f>
        <v>10496</v>
      </c>
      <c r="I25" s="14" t="n">
        <f aca="false">SUMIFS(Data_Mix!$F$6:$F$88,Data_Mix!$A$6:$A$88,I$5,Data_Mix!$B$6:$B$88,"model",Data_Mix!$C$6:$C$88,"718")</f>
        <v>8116</v>
      </c>
      <c r="J25" s="14" t="n">
        <f aca="false">SUMIFS(Data_Mix!$F$6:$F$88,Data_Mix!$A$6:$A$88,J$5,Data_Mix!$B$6:$B$88,"model",Data_Mix!$C$6:$C$88,"718")</f>
        <v>2789</v>
      </c>
      <c r="K25" s="39" t="s">
        <v>805</v>
      </c>
    </row>
    <row r="26" customFormat="false" ht="15" hidden="false" customHeight="false" outlineLevel="0" collapsed="false">
      <c r="A26" s="6"/>
      <c r="B26" s="6" t="s">
        <v>371</v>
      </c>
      <c r="C26" s="6" t="s">
        <v>167</v>
      </c>
      <c r="D26" s="14" t="n">
        <f aca="false">SUMIFS(Data_Mix!$F$6:$F$88,Data_Mix!$A$6:$A$88,D$5,Data_Mix!$B$6:$B$88,"model",Data_Mix!$C$6:$C$88,"CAY")</f>
        <v>46884</v>
      </c>
      <c r="E26" s="14" t="n">
        <f aca="false">SUMIFS(Data_Mix!$F$6:$F$88,Data_Mix!$A$6:$A$88,E$5,Data_Mix!$B$6:$B$88,"model",Data_Mix!$C$6:$C$88,"CAY")</f>
        <v>40669</v>
      </c>
      <c r="F26" s="14" t="n">
        <f aca="false">SUMIFS(Data_Mix!$F$6:$F$88,Data_Mix!$A$6:$A$88,F$5,Data_Mix!$B$6:$B$88,"model",Data_Mix!$C$6:$C$88,"CAY")</f>
        <v>54587</v>
      </c>
      <c r="G26" s="14" t="n">
        <f aca="false">SUMIFS(Data_Mix!$F$6:$F$88,Data_Mix!$A$6:$A$88,G$5,Data_Mix!$B$6:$B$88,"model",Data_Mix!$C$6:$C$88,"CAY")</f>
        <v>48302</v>
      </c>
      <c r="H26" s="14" t="n">
        <f aca="false">SUMIFS(Data_Mix!$F$6:$F$88,Data_Mix!$A$6:$A$88,H$5,Data_Mix!$B$6:$B$88,"model",Data_Mix!$C$6:$C$88,"CAY")</f>
        <v>41873</v>
      </c>
      <c r="I26" s="14" t="n">
        <f aca="false">SUMIFS(Data_Mix!$F$6:$F$88,Data_Mix!$A$6:$A$88,I$5,Data_Mix!$B$6:$B$88,"model",Data_Mix!$C$6:$C$88,"CAY")</f>
        <v>39013</v>
      </c>
      <c r="J26" s="14" t="n">
        <f aca="false">SUMIFS(Data_Mix!$F$6:$F$88,Data_Mix!$A$6:$A$88,J$5,Data_Mix!$B$6:$B$88,"model",Data_Mix!$C$6:$C$88,"CAY")</f>
        <v>38141</v>
      </c>
      <c r="K26" s="39" t="s">
        <v>805</v>
      </c>
    </row>
    <row r="27" customFormat="false" ht="15" hidden="false" customHeight="false" outlineLevel="0" collapsed="false">
      <c r="A27" s="6"/>
      <c r="B27" s="6" t="s">
        <v>374</v>
      </c>
      <c r="C27" s="6" t="s">
        <v>167</v>
      </c>
      <c r="D27" s="14" t="n">
        <f aca="false">SUMIFS(Data_Mix!$F$6:$F$88,Data_Mix!$A$6:$A$88,D$5,Data_Mix!$B$6:$B$88,"model",Data_Mix!$C$6:$C$88,"MAC")</f>
        <v>47755</v>
      </c>
      <c r="E27" s="14" t="n">
        <f aca="false">SUMIFS(Data_Mix!$F$6:$F$88,Data_Mix!$A$6:$A$88,E$5,Data_Mix!$B$6:$B$88,"model",Data_Mix!$C$6:$C$88,"MAC")</f>
        <v>39600</v>
      </c>
      <c r="F27" s="14" t="n">
        <f aca="false">SUMIFS(Data_Mix!$F$6:$F$88,Data_Mix!$A$6:$A$88,F$5,Data_Mix!$B$6:$B$88,"model",Data_Mix!$C$6:$C$88,"MAC")</f>
        <v>39167</v>
      </c>
      <c r="G27" s="14" t="n">
        <f aca="false">SUMIFS(Data_Mix!$F$6:$F$88,Data_Mix!$A$6:$A$88,G$5,Data_Mix!$B$6:$B$88,"model",Data_Mix!$C$6:$C$88,"MAC")</f>
        <v>43628</v>
      </c>
      <c r="H27" s="14" t="n">
        <f aca="false">SUMIFS(Data_Mix!$F$6:$F$88,Data_Mix!$A$6:$A$88,H$5,Data_Mix!$B$6:$B$88,"model",Data_Mix!$C$6:$C$88,"MAC")</f>
        <v>45137</v>
      </c>
      <c r="I27" s="14" t="n">
        <f aca="false">SUMIFS(Data_Mix!$F$6:$F$88,Data_Mix!$A$6:$A$88,I$5,Data_Mix!$B$6:$B$88,"model",Data_Mix!$C$6:$C$88,"MAC")</f>
        <v>39191</v>
      </c>
      <c r="J27" s="14" t="n">
        <f aca="false">SUMIFS(Data_Mix!$F$6:$F$88,Data_Mix!$A$6:$A$88,J$5,Data_Mix!$B$6:$B$88,"model",Data_Mix!$C$6:$C$88,"MAC")</f>
        <v>35315</v>
      </c>
      <c r="K27" s="39" t="s">
        <v>805</v>
      </c>
    </row>
    <row r="28" customFormat="false" ht="15" hidden="false" customHeight="false" outlineLevel="0" collapsed="false">
      <c r="A28" s="6"/>
      <c r="B28" s="6" t="s">
        <v>377</v>
      </c>
      <c r="C28" s="6" t="s">
        <v>167</v>
      </c>
      <c r="D28" s="14" t="n">
        <f aca="false">SUMIFS(Data_Mix!$F$6:$F$88,Data_Mix!$A$6:$A$88,D$5,Data_Mix!$B$6:$B$88,"model",Data_Mix!$C$6:$C$88,"PAN")</f>
        <v>17565</v>
      </c>
      <c r="E28" s="14" t="n">
        <f aca="false">SUMIFS(Data_Mix!$F$6:$F$88,Data_Mix!$A$6:$A$88,E$5,Data_Mix!$B$6:$B$88,"model",Data_Mix!$C$6:$C$88,"PAN")</f>
        <v>16455</v>
      </c>
      <c r="F28" s="14" t="n">
        <f aca="false">SUMIFS(Data_Mix!$F$6:$F$88,Data_Mix!$A$6:$A$88,F$5,Data_Mix!$B$6:$B$88,"model",Data_Mix!$C$6:$C$88,"PAN")</f>
        <v>13255</v>
      </c>
      <c r="G28" s="14" t="n">
        <f aca="false">SUMIFS(Data_Mix!$F$6:$F$88,Data_Mix!$A$6:$A$88,G$5,Data_Mix!$B$6:$B$88,"model",Data_Mix!$C$6:$C$88,"PAN")</f>
        <v>16332</v>
      </c>
      <c r="H28" s="14" t="n">
        <f aca="false">SUMIFS(Data_Mix!$F$6:$F$88,Data_Mix!$A$6:$A$88,H$5,Data_Mix!$B$6:$B$88,"model",Data_Mix!$C$6:$C$88,"PAN")</f>
        <v>14975</v>
      </c>
      <c r="I28" s="14" t="n">
        <f aca="false">SUMIFS(Data_Mix!$F$6:$F$88,Data_Mix!$A$6:$A$88,I$5,Data_Mix!$B$6:$B$88,"model",Data_Mix!$C$6:$C$88,"PAN")</f>
        <v>12726</v>
      </c>
      <c r="J28" s="14" t="n">
        <f aca="false">SUMIFS(Data_Mix!$F$6:$F$88,Data_Mix!$A$6:$A$88,J$5,Data_Mix!$B$6:$B$88,"model",Data_Mix!$C$6:$C$88,"PAN")</f>
        <v>9308</v>
      </c>
      <c r="K28" s="39" t="s">
        <v>805</v>
      </c>
    </row>
    <row r="29" customFormat="false" ht="15" hidden="false" customHeight="false" outlineLevel="0" collapsed="false">
      <c r="A29" s="6"/>
      <c r="B29" s="6" t="s">
        <v>380</v>
      </c>
      <c r="C29" s="6" t="s">
        <v>167</v>
      </c>
      <c r="D29" s="14" t="n">
        <f aca="false">SUMIFS(Data_Mix!$F$6:$F$88,Data_Mix!$A$6:$A$88,D$5,Data_Mix!$B$6:$B$88,"model",Data_Mix!$C$6:$C$88,"TAY")</f>
        <v>17991</v>
      </c>
      <c r="E29" s="14" t="n">
        <f aca="false">SUMIFS(Data_Mix!$F$6:$F$88,Data_Mix!$A$6:$A$88,E$5,Data_Mix!$B$6:$B$88,"model",Data_Mix!$C$6:$C$88,"TAY")</f>
        <v>22638</v>
      </c>
      <c r="F29" s="14" t="n">
        <f aca="false">SUMIFS(Data_Mix!$F$6:$F$88,Data_Mix!$A$6:$A$88,F$5,Data_Mix!$B$6:$B$88,"model",Data_Mix!$C$6:$C$88,"TAY")</f>
        <v>8838</v>
      </c>
      <c r="G29" s="14" t="n">
        <f aca="false">SUMIFS(Data_Mix!$F$6:$F$88,Data_Mix!$A$6:$A$88,G$5,Data_Mix!$B$6:$B$88,"model",Data_Mix!$C$6:$C$88,"TAY")</f>
        <v>11998</v>
      </c>
      <c r="H29" s="14" t="n">
        <f aca="false">SUMIFS(Data_Mix!$F$6:$F$88,Data_Mix!$A$6:$A$88,H$5,Data_Mix!$B$6:$B$88,"model",Data_Mix!$C$6:$C$88,"TAY")</f>
        <v>8302</v>
      </c>
      <c r="I29" s="14" t="n">
        <f aca="false">SUMIFS(Data_Mix!$F$6:$F$88,Data_Mix!$A$6:$A$88,I$5,Data_Mix!$B$6:$B$88,"model",Data_Mix!$C$6:$C$88,"TAY")</f>
        <v>8037</v>
      </c>
      <c r="J29" s="14" t="n">
        <f aca="false">SUMIFS(Data_Mix!$F$6:$F$88,Data_Mix!$A$6:$A$88,J$5,Data_Mix!$B$6:$B$88,"model",Data_Mix!$C$6:$C$88,"TAY")</f>
        <v>6219</v>
      </c>
      <c r="K29" s="39" t="s">
        <v>805</v>
      </c>
    </row>
    <row r="30" customFormat="false" ht="15" hidden="false" customHeight="false" outlineLevel="0" collapsed="false">
      <c r="A30" s="6" t="s">
        <v>806</v>
      </c>
      <c r="B30" s="3" t="s">
        <v>807</v>
      </c>
      <c r="C30" s="6" t="s">
        <v>167</v>
      </c>
      <c r="D30" s="26" t="n">
        <f aca="false">D24+D25+D26+D27+D28+D29</f>
        <v>167354</v>
      </c>
      <c r="E30" s="26" t="n">
        <f aca="false">E24+E25+E26+E27+E28+E29</f>
        <v>152867</v>
      </c>
      <c r="F30" s="26" t="n">
        <f aca="false">F24+F25+F26+F27+F28+F29</f>
        <v>155945</v>
      </c>
      <c r="G30" s="26" t="n">
        <f aca="false">G24+G25+G26+G27+G28+G29</f>
        <v>154773</v>
      </c>
      <c r="H30" s="26" t="n">
        <f aca="false">H24+H25+H26+H27+H28+H29</f>
        <v>146391</v>
      </c>
      <c r="I30" s="26" t="n">
        <f aca="false">I24+I25+I26+I27+I28+I29</f>
        <v>133058</v>
      </c>
      <c r="J30" s="26" t="n">
        <f aca="false">J24+J25+J26+J27+J28+J29</f>
        <v>122306</v>
      </c>
    </row>
    <row r="31" customFormat="false" ht="15" hidden="false" customHeight="false" outlineLevel="0" collapsed="false">
      <c r="A31" s="6" t="s">
        <v>808</v>
      </c>
      <c r="B31" s="6" t="s">
        <v>809</v>
      </c>
      <c r="C31" s="6" t="s">
        <v>167</v>
      </c>
      <c r="D31" s="14" t="n">
        <f aca="false">D30-D9</f>
        <v>0</v>
      </c>
      <c r="E31" s="14" t="n">
        <f aca="false">E30-E9</f>
        <v>0</v>
      </c>
      <c r="F31" s="14" t="n">
        <f aca="false">F30-F9</f>
        <v>0</v>
      </c>
      <c r="G31" s="14" t="n">
        <f aca="false">G30-G9</f>
        <v>0</v>
      </c>
      <c r="H31" s="14" t="n">
        <f aca="false">H30-H9</f>
        <v>0</v>
      </c>
      <c r="I31" s="14" t="n">
        <f aca="false">I30-I9</f>
        <v>0</v>
      </c>
      <c r="J31" s="14" t="n">
        <f aca="false">J30-J9</f>
        <v>0</v>
      </c>
    </row>
    <row r="32" customFormat="false" ht="15" hidden="false" customHeight="false" outlineLevel="0" collapsed="false">
      <c r="A32" s="6"/>
      <c r="B32" s="6" t="s">
        <v>810</v>
      </c>
      <c r="C32" s="6" t="s">
        <v>106</v>
      </c>
      <c r="D32" s="28" t="n">
        <f aca="false">D24/D30</f>
        <v>0.15610024259952</v>
      </c>
      <c r="E32" s="28" t="n">
        <f aca="false">E24/E30</f>
        <v>0.15714313749861</v>
      </c>
      <c r="F32" s="28" t="n">
        <f aca="false">F24/F30</f>
        <v>0.180909936195454</v>
      </c>
      <c r="G32" s="28" t="n">
        <f aca="false">G24/G30</f>
        <v>0.146853779405969</v>
      </c>
      <c r="H32" s="28" t="n">
        <f aca="false">H24/H30</f>
        <v>0.174928786605734</v>
      </c>
      <c r="I32" s="28" t="n">
        <f aca="false">I24/I30</f>
        <v>0.195215620255828</v>
      </c>
      <c r="J32" s="28" t="n">
        <f aca="false">J24/J30</f>
        <v>0.249652510915245</v>
      </c>
    </row>
    <row r="33" customFormat="false" ht="15" hidden="false" customHeight="false" outlineLevel="0" collapsed="false">
      <c r="A33" s="6"/>
      <c r="B33" s="6" t="s">
        <v>811</v>
      </c>
      <c r="C33" s="6" t="s">
        <v>106</v>
      </c>
      <c r="D33" s="28" t="n">
        <f aca="false">D25/D30</f>
        <v>0.0659380713935729</v>
      </c>
      <c r="E33" s="28" t="n">
        <f aca="false">E25/E30</f>
        <v>0.0620343174131762</v>
      </c>
      <c r="F33" s="28" t="n">
        <f aca="false">F25/F30</f>
        <v>0.0762191798390458</v>
      </c>
      <c r="G33" s="28" t="n">
        <f aca="false">G25/G30</f>
        <v>0.0761373107712586</v>
      </c>
      <c r="H33" s="28" t="n">
        <f aca="false">H25/H30</f>
        <v>0.0716983967593636</v>
      </c>
      <c r="I33" s="28" t="n">
        <f aca="false">I25/I30</f>
        <v>0.0609959566504833</v>
      </c>
      <c r="J33" s="28" t="n">
        <f aca="false">J25/J30</f>
        <v>0.0228034601736628</v>
      </c>
    </row>
    <row r="34" customFormat="false" ht="15" hidden="false" customHeight="false" outlineLevel="0" collapsed="false">
      <c r="A34" s="6"/>
      <c r="B34" s="6" t="s">
        <v>812</v>
      </c>
      <c r="C34" s="6" t="s">
        <v>106</v>
      </c>
      <c r="D34" s="28" t="n">
        <f aca="false">D26/D30</f>
        <v>0.280148666897714</v>
      </c>
      <c r="E34" s="28" t="n">
        <f aca="false">E26/E30</f>
        <v>0.266041722543126</v>
      </c>
      <c r="F34" s="28" t="n">
        <f aca="false">F26/F30</f>
        <v>0.35004007823271</v>
      </c>
      <c r="G34" s="28" t="n">
        <f aca="false">G26/G30</f>
        <v>0.312082856829034</v>
      </c>
      <c r="H34" s="28" t="n">
        <f aca="false">H26/H30</f>
        <v>0.286035343702823</v>
      </c>
      <c r="I34" s="28" t="n">
        <f aca="false">I26/I30</f>
        <v>0.29320296412091</v>
      </c>
      <c r="J34" s="28" t="n">
        <f aca="false">J26/J30</f>
        <v>0.311848968979445</v>
      </c>
    </row>
    <row r="35" customFormat="false" ht="15" hidden="false" customHeight="false" outlineLevel="0" collapsed="false">
      <c r="A35" s="6"/>
      <c r="B35" s="6" t="s">
        <v>813</v>
      </c>
      <c r="C35" s="6" t="s">
        <v>106</v>
      </c>
      <c r="D35" s="28" t="n">
        <f aca="false">D27/D30</f>
        <v>0.285353203389223</v>
      </c>
      <c r="E35" s="28" t="n">
        <f aca="false">E27/E30</f>
        <v>0.259048715550119</v>
      </c>
      <c r="F35" s="28" t="n">
        <f aca="false">F27/F30</f>
        <v>0.25115906248998</v>
      </c>
      <c r="G35" s="28" t="n">
        <f aca="false">G27/G30</f>
        <v>0.281883791100515</v>
      </c>
      <c r="H35" s="28" t="n">
        <f aca="false">H27/H30</f>
        <v>0.308331796353601</v>
      </c>
      <c r="I35" s="28" t="n">
        <f aca="false">I27/I30</f>
        <v>0.29454072660043</v>
      </c>
      <c r="J35" s="28" t="n">
        <f aca="false">J27/J30</f>
        <v>0.288742988896702</v>
      </c>
    </row>
    <row r="36" customFormat="false" ht="15" hidden="false" customHeight="false" outlineLevel="0" collapsed="false">
      <c r="A36" s="6"/>
      <c r="B36" s="6" t="s">
        <v>814</v>
      </c>
      <c r="C36" s="6" t="s">
        <v>106</v>
      </c>
      <c r="D36" s="28" t="n">
        <f aca="false">D28/D30</f>
        <v>0.104957156685828</v>
      </c>
      <c r="E36" s="28" t="n">
        <f aca="false">E28/E30</f>
        <v>0.107642591272152</v>
      </c>
      <c r="F36" s="28" t="n">
        <f aca="false">F28/F30</f>
        <v>0.0849979159318991</v>
      </c>
      <c r="G36" s="28" t="n">
        <f aca="false">G28/G30</f>
        <v>0.105522281018007</v>
      </c>
      <c r="H36" s="28" t="n">
        <f aca="false">H28/H30</f>
        <v>0.102294539964889</v>
      </c>
      <c r="I36" s="28" t="n">
        <f aca="false">I28/I30</f>
        <v>0.0956425017661471</v>
      </c>
      <c r="J36" s="28" t="n">
        <f aca="false">J28/J30</f>
        <v>0.0761041976681438</v>
      </c>
    </row>
    <row r="37" customFormat="false" ht="15" hidden="false" customHeight="false" outlineLevel="0" collapsed="false">
      <c r="A37" s="6"/>
      <c r="B37" s="6" t="s">
        <v>815</v>
      </c>
      <c r="C37" s="6" t="s">
        <v>106</v>
      </c>
      <c r="D37" s="28" t="n">
        <f aca="false">D29/D30</f>
        <v>0.107502659034143</v>
      </c>
      <c r="E37" s="28" t="n">
        <f aca="false">E29/E30</f>
        <v>0.148089515722818</v>
      </c>
      <c r="F37" s="28" t="n">
        <f aca="false">F29/F30</f>
        <v>0.0566738273109109</v>
      </c>
      <c r="G37" s="28" t="n">
        <f aca="false">G29/G30</f>
        <v>0.0775199808752173</v>
      </c>
      <c r="H37" s="28" t="n">
        <f aca="false">H29/H30</f>
        <v>0.0567111366135896</v>
      </c>
      <c r="I37" s="28" t="n">
        <f aca="false">I29/I30</f>
        <v>0.0604022306062018</v>
      </c>
      <c r="J37" s="28" t="n">
        <f aca="false">J29/J30</f>
        <v>0.0508478733668013</v>
      </c>
    </row>
    <row r="38" customFormat="false" ht="15" hidden="false" customHeight="false" outlineLevel="0" collapsed="false">
      <c r="A38" s="6"/>
      <c r="B38" s="6" t="s">
        <v>816</v>
      </c>
      <c r="C38" s="6" t="s">
        <v>167</v>
      </c>
      <c r="D38" s="14" t="str">
        <f aca="false">IF(COUNTIFS(Data_Mix!$A$6:$A$88,D$5,Data_Mix!$C$6:$C$88,"MAC_ICE")=0,"",SUMIFS(Data_Mix!$F$6:$F$88,Data_Mix!$A$6:$A$88,D$5,Data_Mix!$C$6:$C$88,"MAC_ICE"))</f>
        <v/>
      </c>
      <c r="E38" s="14" t="str">
        <f aca="false">IF(COUNTIFS(Data_Mix!$A$6:$A$88,E$5,Data_Mix!$C$6:$C$88,"MAC_ICE")=0,"",SUMIFS(Data_Mix!$F$6:$F$88,Data_Mix!$A$6:$A$88,E$5,Data_Mix!$C$6:$C$88,"MAC_ICE"))</f>
        <v/>
      </c>
      <c r="F38" s="14" t="str">
        <f aca="false">IF(COUNTIFS(Data_Mix!$A$6:$A$88,F$5,Data_Mix!$C$6:$C$88,"MAC_ICE")=0,"",SUMIFS(Data_Mix!$F$6:$F$88,Data_Mix!$A$6:$A$88,F$5,Data_Mix!$C$6:$C$88,"MAC_ICE"))</f>
        <v/>
      </c>
      <c r="G38" s="14" t="str">
        <f aca="false">IF(COUNTIFS(Data_Mix!$A$6:$A$88,G$5,Data_Mix!$C$6:$C$88,"MAC_ICE")=0,"",SUMIFS(Data_Mix!$F$6:$F$88,Data_Mix!$A$6:$A$88,G$5,Data_Mix!$C$6:$C$88,"MAC_ICE"))</f>
        <v/>
      </c>
      <c r="H38" s="14" t="n">
        <f aca="false">IF(COUNTIFS(Data_Mix!$A$6:$A$88,H$5,Data_Mix!$C$6:$C$88,"MAC_ICE")=0,"",SUMIFS(Data_Mix!$F$6:$F$88,Data_Mix!$A$6:$A$88,H$5,Data_Mix!$C$6:$C$88,"MAC_ICE"))</f>
        <v>19253</v>
      </c>
      <c r="I38" s="14" t="n">
        <f aca="false">IF(COUNTIFS(Data_Mix!$A$6:$A$88,I$5,Data_Mix!$C$6:$C$88,"MAC_ICE")=0,"",SUMIFS(Data_Mix!$F$6:$F$88,Data_Mix!$A$6:$A$88,I$5,Data_Mix!$C$6:$C$88,"MAC_ICE"))</f>
        <v>19708</v>
      </c>
      <c r="J38" s="14" t="n">
        <f aca="false">IF(COUNTIFS(Data_Mix!$A$6:$A$88,J$5,Data_Mix!$C$6:$C$88,"MAC_ICE")=0,"",SUMIFS(Data_Mix!$F$6:$F$88,Data_Mix!$A$6:$A$88,J$5,Data_Mix!$C$6:$C$88,"MAC_ICE"))</f>
        <v>19695</v>
      </c>
    </row>
    <row r="39" customFormat="false" ht="15" hidden="false" customHeight="false" outlineLevel="0" collapsed="false">
      <c r="A39" s="6"/>
      <c r="B39" s="6" t="s">
        <v>817</v>
      </c>
      <c r="C39" s="6" t="s">
        <v>167</v>
      </c>
      <c r="D39" s="14" t="str">
        <f aca="false">IF(COUNTIFS(Data_Mix!$A$6:$A$88,D$5,Data_Mix!$C$6:$C$88,"MAC_BEV")=0,"",SUMIFS(Data_Mix!$F$6:$F$88,Data_Mix!$A$6:$A$88,D$5,Data_Mix!$C$6:$C$88,"MAC_BEV"))</f>
        <v/>
      </c>
      <c r="E39" s="14" t="str">
        <f aca="false">IF(COUNTIFS(Data_Mix!$A$6:$A$88,E$5,Data_Mix!$C$6:$C$88,"MAC_BEV")=0,"",SUMIFS(Data_Mix!$F$6:$F$88,Data_Mix!$A$6:$A$88,E$5,Data_Mix!$C$6:$C$88,"MAC_BEV"))</f>
        <v/>
      </c>
      <c r="F39" s="14" t="str">
        <f aca="false">IF(COUNTIFS(Data_Mix!$A$6:$A$88,F$5,Data_Mix!$C$6:$C$88,"MAC_BEV")=0,"",SUMIFS(Data_Mix!$F$6:$F$88,Data_Mix!$A$6:$A$88,F$5,Data_Mix!$C$6:$C$88,"MAC_BEV"))</f>
        <v/>
      </c>
      <c r="G39" s="14" t="str">
        <f aca="false">IF(COUNTIFS(Data_Mix!$A$6:$A$88,G$5,Data_Mix!$C$6:$C$88,"MAC_BEV")=0,"",SUMIFS(Data_Mix!$F$6:$F$88,Data_Mix!$A$6:$A$88,G$5,Data_Mix!$C$6:$C$88,"MAC_BEV"))</f>
        <v/>
      </c>
      <c r="H39" s="14" t="n">
        <f aca="false">IF(COUNTIFS(Data_Mix!$A$6:$A$88,H$5,Data_Mix!$C$6:$C$88,"MAC_BEV")=0,"",SUMIFS(Data_Mix!$F$6:$F$88,Data_Mix!$A$6:$A$88,H$5,Data_Mix!$C$6:$C$88,"MAC_BEV"))</f>
        <v>25884</v>
      </c>
      <c r="I39" s="14" t="n">
        <f aca="false">IF(COUNTIFS(Data_Mix!$A$6:$A$88,I$5,Data_Mix!$C$6:$C$88,"MAC_BEV")=0,"",SUMIFS(Data_Mix!$F$6:$F$88,Data_Mix!$A$6:$A$88,I$5,Data_Mix!$C$6:$C$88,"MAC_BEV"))</f>
        <v>19483</v>
      </c>
      <c r="J39" s="14" t="n">
        <f aca="false">IF(COUNTIFS(Data_Mix!$A$6:$A$88,J$5,Data_Mix!$C$6:$C$88,"MAC_BEV")=0,"",SUMIFS(Data_Mix!$F$6:$F$88,Data_Mix!$A$6:$A$88,J$5,Data_Mix!$C$6:$C$88,"MAC_BEV"))</f>
        <v>15620</v>
      </c>
    </row>
    <row r="40" customFormat="false" ht="15" hidden="false" customHeight="false" outlineLevel="0" collapsed="false">
      <c r="A40" s="35" t="s">
        <v>818</v>
      </c>
      <c r="B40" s="36"/>
      <c r="C40" s="36"/>
      <c r="D40" s="36"/>
      <c r="E40" s="36"/>
      <c r="F40" s="36"/>
      <c r="G40" s="36"/>
      <c r="H40" s="36"/>
      <c r="I40" s="36"/>
      <c r="J40" s="36"/>
      <c r="K40" s="36"/>
    </row>
    <row r="41" customFormat="false" ht="15" hidden="false" customHeight="false" outlineLevel="0" collapsed="false">
      <c r="A41" s="6"/>
      <c r="B41" s="6" t="s">
        <v>393</v>
      </c>
      <c r="C41" s="6" t="s">
        <v>167</v>
      </c>
      <c r="D41" s="14" t="n">
        <f aca="false">SUMIFS(Data_Mix!$F$6:$F$88,Data_Mix!$A$6:$A$88,D$5,Data_Mix!$B$6:$B$88,"region",Data_Mix!$C$6:$C$88,"NA")</f>
        <v>41937</v>
      </c>
      <c r="E41" s="14" t="n">
        <f aca="false">SUMIFS(Data_Mix!$F$6:$F$88,Data_Mix!$A$6:$A$88,E$5,Data_Mix!$B$6:$B$88,"region",Data_Mix!$C$6:$C$88,"NA")</f>
        <v>44122</v>
      </c>
      <c r="F41" s="14" t="n">
        <f aca="false">SUMIFS(Data_Mix!$F$6:$F$88,Data_Mix!$A$6:$A$88,F$5,Data_Mix!$B$6:$B$88,"region",Data_Mix!$C$6:$C$88,"NA")</f>
        <v>39558</v>
      </c>
      <c r="G41" s="14" t="n">
        <f aca="false">SUMIFS(Data_Mix!$F$6:$F$88,Data_Mix!$A$6:$A$88,G$5,Data_Mix!$B$6:$B$88,"region",Data_Mix!$C$6:$C$88,"NA")</f>
        <v>46983</v>
      </c>
      <c r="H41" s="14" t="n">
        <f aca="false">SUMIFS(Data_Mix!$F$6:$F$88,Data_Mix!$A$6:$A$88,H$5,Data_Mix!$B$6:$B$88,"region",Data_Mix!$C$6:$C$88,"NA")</f>
        <v>43577</v>
      </c>
      <c r="I41" s="14" t="n">
        <f aca="false">SUMIFS(Data_Mix!$F$6:$F$88,Data_Mix!$A$6:$A$88,I$5,Data_Mix!$B$6:$B$88,"region",Data_Mix!$C$6:$C$88,"NA")</f>
        <v>42652</v>
      </c>
      <c r="J41" s="14" t="n">
        <f aca="false">SUMIFS(Data_Mix!$F$6:$F$88,Data_Mix!$A$6:$A$88,J$5,Data_Mix!$B$6:$B$88,"region",Data_Mix!$C$6:$C$88,"NA")</f>
        <v>37712</v>
      </c>
    </row>
    <row r="42" customFormat="false" ht="15" hidden="false" customHeight="false" outlineLevel="0" collapsed="false">
      <c r="A42" s="6"/>
      <c r="B42" s="6" t="s">
        <v>390</v>
      </c>
      <c r="C42" s="6" t="s">
        <v>167</v>
      </c>
      <c r="D42" s="14" t="n">
        <f aca="false">SUMIFS(Data_Mix!$F$6:$F$88,Data_Mix!$A$6:$A$88,D$5,Data_Mix!$B$6:$B$88,"region",Data_Mix!$C$6:$C$88,"EU")</f>
        <v>36574</v>
      </c>
      <c r="E42" s="14" t="n">
        <f aca="false">SUMIFS(Data_Mix!$F$6:$F$88,Data_Mix!$A$6:$A$88,E$5,Data_Mix!$B$6:$B$88,"region",Data_Mix!$C$6:$C$88,"EU")</f>
        <v>33655</v>
      </c>
      <c r="F42" s="14" t="n">
        <f aca="false">SUMIFS(Data_Mix!$F$6:$F$88,Data_Mix!$A$6:$A$88,F$5,Data_Mix!$B$6:$B$88,"region",Data_Mix!$C$6:$C$88,"EU")</f>
        <v>38611</v>
      </c>
      <c r="G42" s="14" t="n">
        <f aca="false">SUMIFS(Data_Mix!$F$6:$F$88,Data_Mix!$A$6:$A$88,G$5,Data_Mix!$B$6:$B$88,"region",Data_Mix!$C$6:$C$88,"EU")</f>
        <v>37288</v>
      </c>
      <c r="H42" s="14" t="n">
        <f aca="false">SUMIFS(Data_Mix!$F$6:$F$88,Data_Mix!$A$6:$A$88,H$5,Data_Mix!$B$6:$B$88,"region",Data_Mix!$C$6:$C$88,"EU")</f>
        <v>35381</v>
      </c>
      <c r="I42" s="14" t="n">
        <f aca="false">SUMIFS(Data_Mix!$F$6:$F$88,Data_Mix!$A$6:$A$88,I$5,Data_Mix!$B$6:$B$88,"region",Data_Mix!$C$6:$C$88,"EU")</f>
        <v>30959</v>
      </c>
      <c r="J42" s="14" t="n">
        <f aca="false">SUMIFS(Data_Mix!$F$6:$F$88,Data_Mix!$A$6:$A$88,J$5,Data_Mix!$B$6:$B$88,"region",Data_Mix!$C$6:$C$88,"EU")</f>
        <v>30278</v>
      </c>
    </row>
    <row r="43" customFormat="false" ht="15" hidden="false" customHeight="false" outlineLevel="0" collapsed="false">
      <c r="A43" s="6"/>
      <c r="B43" s="6" t="s">
        <v>387</v>
      </c>
      <c r="C43" s="6" t="s">
        <v>167</v>
      </c>
      <c r="D43" s="14" t="n">
        <f aca="false">SUMIFS(Data_Mix!$F$6:$F$88,Data_Mix!$A$6:$A$88,D$5,Data_Mix!$B$6:$B$88,"region",Data_Mix!$C$6:$C$88,"DE")</f>
        <v>17118</v>
      </c>
      <c r="E43" s="14" t="n">
        <f aca="false">SUMIFS(Data_Mix!$F$6:$F$88,Data_Mix!$A$6:$A$88,E$5,Data_Mix!$B$6:$B$88,"region",Data_Mix!$C$6:$C$88,"DE")</f>
        <v>15312</v>
      </c>
      <c r="F43" s="14" t="n">
        <f aca="false">SUMIFS(Data_Mix!$F$6:$F$88,Data_Mix!$A$6:$A$88,F$5,Data_Mix!$B$6:$B$88,"region",Data_Mix!$C$6:$C$88,"DE")</f>
        <v>20811</v>
      </c>
      <c r="G43" s="14" t="n">
        <f aca="false">SUMIFS(Data_Mix!$F$6:$F$88,Data_Mix!$A$6:$A$88,G$5,Data_Mix!$B$6:$B$88,"region",Data_Mix!$C$6:$C$88,"DE")</f>
        <v>15047</v>
      </c>
      <c r="H43" s="14" t="n">
        <f aca="false">SUMIFS(Data_Mix!$F$6:$F$88,Data_Mix!$A$6:$A$88,H$5,Data_Mix!$B$6:$B$88,"region",Data_Mix!$C$6:$C$88,"DE")</f>
        <v>15973</v>
      </c>
      <c r="I43" s="14" t="n">
        <f aca="false">SUMIFS(Data_Mix!$F$6:$F$88,Data_Mix!$A$6:$A$88,I$5,Data_Mix!$B$6:$B$88,"region",Data_Mix!$C$6:$C$88,"DE")</f>
        <v>13995</v>
      </c>
      <c r="J43" s="14" t="n">
        <f aca="false">SUMIFS(Data_Mix!$F$6:$F$88,Data_Mix!$A$6:$A$88,J$5,Data_Mix!$B$6:$B$88,"region",Data_Mix!$C$6:$C$88,"DE")</f>
        <v>14938</v>
      </c>
    </row>
    <row r="44" customFormat="false" ht="15" hidden="false" customHeight="false" outlineLevel="0" collapsed="false">
      <c r="A44" s="6"/>
      <c r="B44" s="6" t="s">
        <v>384</v>
      </c>
      <c r="C44" s="6" t="s">
        <v>167</v>
      </c>
      <c r="D44" s="14" t="n">
        <f aca="false">SUMIFS(Data_Mix!$F$6:$F$88,Data_Mix!$A$6:$A$88,D$5,Data_Mix!$B$6:$B$88,"region",Data_Mix!$C$6:$C$88,"CN")</f>
        <v>43832</v>
      </c>
      <c r="E44" s="14" t="n">
        <f aca="false">SUMIFS(Data_Mix!$F$6:$F$88,Data_Mix!$A$6:$A$88,E$5,Data_Mix!$B$6:$B$88,"region",Data_Mix!$C$6:$C$88,"CN")</f>
        <v>35451</v>
      </c>
      <c r="F44" s="14" t="n">
        <f aca="false">SUMIFS(Data_Mix!$F$6:$F$88,Data_Mix!$A$6:$A$88,F$5,Data_Mix!$B$6:$B$88,"region",Data_Mix!$C$6:$C$88,"CN")</f>
        <v>29551</v>
      </c>
      <c r="G44" s="14" t="n">
        <f aca="false">SUMIFS(Data_Mix!$F$6:$F$88,Data_Mix!$A$6:$A$88,G$5,Data_Mix!$B$6:$B$88,"region",Data_Mix!$C$6:$C$88,"CN")</f>
        <v>27336</v>
      </c>
      <c r="H44" s="14" t="n">
        <f aca="false">SUMIFS(Data_Mix!$F$6:$F$88,Data_Mix!$A$6:$A$88,H$5,Data_Mix!$B$6:$B$88,"region",Data_Mix!$C$6:$C$88,"CN")</f>
        <v>21302</v>
      </c>
      <c r="I44" s="14" t="n">
        <f aca="false">SUMIFS(Data_Mix!$F$6:$F$88,Data_Mix!$A$6:$A$88,I$5,Data_Mix!$B$6:$B$88,"region",Data_Mix!$C$6:$C$88,"CN")</f>
        <v>20636</v>
      </c>
      <c r="J44" s="14" t="n">
        <f aca="false">SUMIFS(Data_Mix!$F$6:$F$88,Data_Mix!$A$6:$A$88,J$5,Data_Mix!$B$6:$B$88,"region",Data_Mix!$C$6:$C$88,"CN")</f>
        <v>14501</v>
      </c>
    </row>
    <row r="45" customFormat="false" ht="15" hidden="false" customHeight="false" outlineLevel="0" collapsed="false">
      <c r="A45" s="6"/>
      <c r="B45" s="6" t="s">
        <v>396</v>
      </c>
      <c r="C45" s="6" t="s">
        <v>167</v>
      </c>
      <c r="D45" s="14" t="n">
        <f aca="false">SUMIFS(Data_Mix!$F$6:$F$88,Data_Mix!$A$6:$A$88,D$5,Data_Mix!$B$6:$B$88,"region",Data_Mix!$C$6:$C$88,"OEM")</f>
        <v>27893</v>
      </c>
      <c r="E45" s="14" t="n">
        <f aca="false">SUMIFS(Data_Mix!$F$6:$F$88,Data_Mix!$A$6:$A$88,E$5,Data_Mix!$B$6:$B$88,"region",Data_Mix!$C$6:$C$88,"OEM")</f>
        <v>24327</v>
      </c>
      <c r="F45" s="14" t="n">
        <f aca="false">SUMIFS(Data_Mix!$F$6:$F$88,Data_Mix!$A$6:$A$88,F$5,Data_Mix!$B$6:$B$88,"region",Data_Mix!$C$6:$C$88,"OEM")</f>
        <v>27414</v>
      </c>
      <c r="G45" s="14" t="n">
        <f aca="false">SUMIFS(Data_Mix!$F$6:$F$88,Data_Mix!$A$6:$A$88,G$5,Data_Mix!$B$6:$B$88,"region",Data_Mix!$C$6:$C$88,"OEM")</f>
        <v>28119</v>
      </c>
      <c r="H45" s="14" t="n">
        <f aca="false">SUMIFS(Data_Mix!$F$6:$F$88,Data_Mix!$A$6:$A$88,H$5,Data_Mix!$B$6:$B$88,"region",Data_Mix!$C$6:$C$88,"OEM")</f>
        <v>30158</v>
      </c>
      <c r="I45" s="14" t="n">
        <f aca="false">SUMIFS(Data_Mix!$F$6:$F$88,Data_Mix!$A$6:$A$88,I$5,Data_Mix!$B$6:$B$88,"region",Data_Mix!$C$6:$C$88,"OEM")</f>
        <v>24816</v>
      </c>
      <c r="J45" s="14" t="n">
        <f aca="false">SUMIFS(Data_Mix!$F$6:$F$88,Data_Mix!$A$6:$A$88,J$5,Data_Mix!$B$6:$B$88,"region",Data_Mix!$C$6:$C$88,"OEM")</f>
        <v>24877</v>
      </c>
    </row>
    <row r="46" customFormat="false" ht="15" hidden="false" customHeight="false" outlineLevel="0" collapsed="false">
      <c r="A46" s="6" t="s">
        <v>819</v>
      </c>
      <c r="B46" s="3" t="s">
        <v>820</v>
      </c>
      <c r="C46" s="6" t="s">
        <v>167</v>
      </c>
      <c r="D46" s="26" t="n">
        <f aca="false">D41+D42+D43+D44+D45</f>
        <v>167354</v>
      </c>
      <c r="E46" s="26" t="n">
        <f aca="false">E41+E42+E43+E44+E45</f>
        <v>152867</v>
      </c>
      <c r="F46" s="26" t="n">
        <f aca="false">F41+F42+F43+F44+F45</f>
        <v>155945</v>
      </c>
      <c r="G46" s="26" t="n">
        <f aca="false">G41+G42+G43+G44+G45</f>
        <v>154773</v>
      </c>
      <c r="H46" s="26" t="n">
        <f aca="false">H41+H42+H43+H44+H45</f>
        <v>146391</v>
      </c>
      <c r="I46" s="26" t="n">
        <f aca="false">I41+I42+I43+I44+I45</f>
        <v>133058</v>
      </c>
      <c r="J46" s="26" t="n">
        <f aca="false">J41+J42+J43+J44+J45</f>
        <v>122306</v>
      </c>
    </row>
    <row r="47" customFormat="false" ht="15" hidden="false" customHeight="false" outlineLevel="0" collapsed="false">
      <c r="A47" s="6" t="s">
        <v>821</v>
      </c>
      <c r="B47" s="6" t="s">
        <v>822</v>
      </c>
      <c r="C47" s="6" t="s">
        <v>167</v>
      </c>
      <c r="D47" s="14" t="n">
        <f aca="false">D46-D9</f>
        <v>0</v>
      </c>
      <c r="E47" s="14" t="n">
        <f aca="false">E46-E9</f>
        <v>0</v>
      </c>
      <c r="F47" s="14" t="n">
        <f aca="false">F46-F9</f>
        <v>0</v>
      </c>
      <c r="G47" s="14" t="n">
        <f aca="false">G46-G9</f>
        <v>0</v>
      </c>
      <c r="H47" s="14" t="n">
        <f aca="false">H46-H9</f>
        <v>0</v>
      </c>
      <c r="I47" s="14" t="n">
        <f aca="false">I46-I9</f>
        <v>0</v>
      </c>
      <c r="J47" s="14" t="n">
        <f aca="false">J46-J9</f>
        <v>0</v>
      </c>
    </row>
    <row r="48" customFormat="false" ht="15" hidden="false" customHeight="false" outlineLevel="0" collapsed="false">
      <c r="A48" s="6"/>
      <c r="B48" s="6" t="s">
        <v>823</v>
      </c>
      <c r="C48" s="6" t="s">
        <v>106</v>
      </c>
      <c r="D48" s="28" t="n">
        <f aca="false">D41/D46</f>
        <v>0.250588572726078</v>
      </c>
      <c r="E48" s="28" t="n">
        <f aca="false">E41/E46</f>
        <v>0.288629985542988</v>
      </c>
      <c r="F48" s="28" t="n">
        <f aca="false">F41/F46</f>
        <v>0.253666356728334</v>
      </c>
      <c r="G48" s="28" t="n">
        <f aca="false">G41/G46</f>
        <v>0.303560698571456</v>
      </c>
      <c r="H48" s="28" t="n">
        <f aca="false">H41/H46</f>
        <v>0.297675403542568</v>
      </c>
      <c r="I48" s="28" t="n">
        <f aca="false">I41/I46</f>
        <v>0.320551939755595</v>
      </c>
      <c r="J48" s="28" t="n">
        <f aca="false">J41/J46</f>
        <v>0.308341373276863</v>
      </c>
    </row>
    <row r="49" customFormat="false" ht="15" hidden="false" customHeight="false" outlineLevel="0" collapsed="false">
      <c r="A49" s="6"/>
      <c r="B49" s="6" t="s">
        <v>824</v>
      </c>
      <c r="C49" s="6" t="s">
        <v>106</v>
      </c>
      <c r="D49" s="28" t="n">
        <f aca="false">D42/D46</f>
        <v>0.218542729782378</v>
      </c>
      <c r="E49" s="28" t="n">
        <f aca="false">E42/E46</f>
        <v>0.220158700046446</v>
      </c>
      <c r="F49" s="28" t="n">
        <f aca="false">F42/F46</f>
        <v>0.247593702908077</v>
      </c>
      <c r="G49" s="28" t="n">
        <f aca="false">G42/G46</f>
        <v>0.240920574001925</v>
      </c>
      <c r="H49" s="28" t="n">
        <f aca="false">H42/H46</f>
        <v>0.241688355158446</v>
      </c>
      <c r="I49" s="28" t="n">
        <f aca="false">I42/I46</f>
        <v>0.232672969682394</v>
      </c>
      <c r="J49" s="28" t="n">
        <f aca="false">J42/J46</f>
        <v>0.247559400192959</v>
      </c>
    </row>
    <row r="50" customFormat="false" ht="15" hidden="false" customHeight="false" outlineLevel="0" collapsed="false">
      <c r="A50" s="6"/>
      <c r="B50" s="6" t="s">
        <v>825</v>
      </c>
      <c r="C50" s="6" t="s">
        <v>106</v>
      </c>
      <c r="D50" s="28" t="n">
        <f aca="false">D43/D46</f>
        <v>0.102286171827384</v>
      </c>
      <c r="E50" s="28" t="n">
        <f aca="false">E43/E46</f>
        <v>0.100165503346046</v>
      </c>
      <c r="F50" s="28" t="n">
        <f aca="false">F43/F46</f>
        <v>0.133450896149283</v>
      </c>
      <c r="G50" s="28" t="n">
        <f aca="false">G43/G46</f>
        <v>0.0972197993190027</v>
      </c>
      <c r="H50" s="28" t="n">
        <f aca="false">H43/H46</f>
        <v>0.109111898955537</v>
      </c>
      <c r="I50" s="28" t="n">
        <f aca="false">I43/I46</f>
        <v>0.105179696072389</v>
      </c>
      <c r="J50" s="28" t="n">
        <f aca="false">J43/J46</f>
        <v>0.122136281130934</v>
      </c>
    </row>
    <row r="51" customFormat="false" ht="15" hidden="false" customHeight="false" outlineLevel="0" collapsed="false">
      <c r="A51" s="6"/>
      <c r="B51" s="6" t="s">
        <v>826</v>
      </c>
      <c r="C51" s="6" t="s">
        <v>106</v>
      </c>
      <c r="D51" s="28" t="n">
        <f aca="false">D44/D46</f>
        <v>0.261911875425744</v>
      </c>
      <c r="E51" s="28" t="n">
        <f aca="false">E44/E46</f>
        <v>0.231907475125436</v>
      </c>
      <c r="F51" s="28" t="n">
        <f aca="false">F44/F46</f>
        <v>0.189496296771298</v>
      </c>
      <c r="G51" s="28" t="n">
        <f aca="false">G44/G46</f>
        <v>0.176619953092594</v>
      </c>
      <c r="H51" s="28" t="n">
        <f aca="false">H44/H46</f>
        <v>0.145514410038869</v>
      </c>
      <c r="I51" s="28" t="n">
        <f aca="false">I44/I46</f>
        <v>0.15509026138977</v>
      </c>
      <c r="J51" s="28" t="n">
        <f aca="false">J44/J46</f>
        <v>0.11856327571828</v>
      </c>
    </row>
    <row r="52" customFormat="false" ht="15" hidden="false" customHeight="false" outlineLevel="0" collapsed="false">
      <c r="A52" s="6"/>
      <c r="B52" s="6" t="s">
        <v>827</v>
      </c>
      <c r="C52" s="6" t="s">
        <v>106</v>
      </c>
      <c r="D52" s="28" t="n">
        <f aca="false">D45/D46</f>
        <v>0.166670650238417</v>
      </c>
      <c r="E52" s="28" t="n">
        <f aca="false">E45/E46</f>
        <v>0.159138335939084</v>
      </c>
      <c r="F52" s="28" t="n">
        <f aca="false">F45/F46</f>
        <v>0.175792747443009</v>
      </c>
      <c r="G52" s="28" t="n">
        <f aca="false">G45/G46</f>
        <v>0.181678975015022</v>
      </c>
      <c r="H52" s="28" t="n">
        <f aca="false">H45/H46</f>
        <v>0.206009932304582</v>
      </c>
      <c r="I52" s="28" t="n">
        <f aca="false">I45/I46</f>
        <v>0.186505133099851</v>
      </c>
      <c r="J52" s="28" t="n">
        <f aca="false">J45/J46</f>
        <v>0.203399669680964</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472C4"/>
    <pageSetUpPr fitToPage="true"/>
  </sheetPr>
  <dimension ref="A1:K33"/>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52"/>
    <col collapsed="false" customWidth="true" hidden="false" outlineLevel="0" max="3" min="3" style="0" width="8"/>
    <col collapsed="false" customWidth="true" hidden="false" outlineLevel="0" max="10" min="4" style="0" width="12"/>
    <col collapsed="false" customWidth="true" hidden="false" outlineLevel="0" max="11" min="11" style="0" width="70"/>
  </cols>
  <sheetData>
    <row r="1" customFormat="false" ht="17.35" hidden="false" customHeight="false" outlineLevel="0" collapsed="false">
      <c r="A1" s="1" t="s">
        <v>828</v>
      </c>
    </row>
    <row r="2" customFormat="false" ht="15" hidden="false" customHeight="false" outlineLevel="0" collapsed="false">
      <c r="A2" s="2" t="s">
        <v>829</v>
      </c>
    </row>
    <row r="3" customFormat="false" ht="15" hidden="false" customHeight="false" outlineLevel="0" collapsed="false">
      <c r="A3" s="3" t="s">
        <v>830</v>
      </c>
    </row>
    <row r="5" customFormat="false" ht="15" hidden="false" customHeight="false" outlineLevel="0" collapsed="false">
      <c r="A5" s="13" t="s">
        <v>571</v>
      </c>
      <c r="B5" s="13" t="s">
        <v>572</v>
      </c>
      <c r="C5" s="13" t="s">
        <v>573</v>
      </c>
      <c r="D5" s="13" t="str">
        <f aca="false">Data_Panel!D$5</f>
        <v>2023-H1</v>
      </c>
      <c r="E5" s="13" t="str">
        <f aca="false">Data_Panel!E$5</f>
        <v>2023-H2</v>
      </c>
      <c r="F5" s="13" t="str">
        <f aca="false">Data_Panel!F$5</f>
        <v>2024-H1</v>
      </c>
      <c r="G5" s="13" t="str">
        <f aca="false">Data_Panel!G$5</f>
        <v>2024-H2</v>
      </c>
      <c r="H5" s="13" t="str">
        <f aca="false">Data_Panel!H$5</f>
        <v>2025-H1</v>
      </c>
      <c r="I5" s="13" t="str">
        <f aca="false">Data_Panel!I$5</f>
        <v>2025-H2</v>
      </c>
      <c r="J5" s="13" t="str">
        <f aca="false">Data_Panel!J$5</f>
        <v>2026-H1</v>
      </c>
      <c r="K5" s="13" t="s">
        <v>574</v>
      </c>
    </row>
    <row r="6" customFormat="false" ht="15" hidden="false" customHeight="false" outlineLevel="0" collapsed="false">
      <c r="A6" s="35" t="s">
        <v>831</v>
      </c>
      <c r="B6" s="36"/>
      <c r="C6" s="36"/>
      <c r="D6" s="36"/>
      <c r="E6" s="36"/>
      <c r="F6" s="36"/>
      <c r="G6" s="36"/>
      <c r="H6" s="36"/>
      <c r="I6" s="36"/>
      <c r="J6" s="36"/>
      <c r="K6" s="36"/>
    </row>
    <row r="7" customFormat="false" ht="15" hidden="false" customHeight="false" outlineLevel="0" collapsed="false">
      <c r="A7" s="6" t="s">
        <v>832</v>
      </c>
      <c r="B7" s="6" t="s">
        <v>98</v>
      </c>
      <c r="C7" s="6" t="s">
        <v>83</v>
      </c>
      <c r="D7" s="25" t="n">
        <f aca="false">Data_Panel!D13</f>
        <v>18892</v>
      </c>
      <c r="E7" s="25" t="n">
        <f aca="false">Data_Panel!E13</f>
        <v>18457</v>
      </c>
      <c r="F7" s="25" t="n">
        <f aca="false">Data_Panel!F13</f>
        <v>17695</v>
      </c>
      <c r="G7" s="25" t="n">
        <f aca="false">Data_Panel!G13</f>
        <v>18743</v>
      </c>
      <c r="H7" s="25" t="n">
        <f aca="false">Data_Panel!H13</f>
        <v>16138</v>
      </c>
      <c r="I7" s="25" t="n">
        <f aca="false">Data_Panel!I13</f>
        <v>16047</v>
      </c>
      <c r="J7" s="25" t="n">
        <f aca="false">Data_Panel!J13</f>
        <v>15158</v>
      </c>
    </row>
    <row r="8" customFormat="false" ht="15" hidden="false" customHeight="false" outlineLevel="0" collapsed="false">
      <c r="A8" s="6" t="s">
        <v>833</v>
      </c>
      <c r="B8" s="6" t="s">
        <v>834</v>
      </c>
      <c r="C8" s="6" t="s">
        <v>83</v>
      </c>
      <c r="D8" s="25" t="n">
        <f aca="false">Data_Panel!D14</f>
        <v>3653</v>
      </c>
      <c r="E8" s="25" t="n">
        <f aca="false">Data_Panel!E14</f>
        <v>3285</v>
      </c>
      <c r="F8" s="25" t="n">
        <f aca="false">Data_Panel!F14</f>
        <v>2904</v>
      </c>
      <c r="G8" s="25" t="n">
        <f aca="false">Data_Panel!G14</f>
        <v>2382</v>
      </c>
      <c r="H8" s="25" t="n">
        <f aca="false">Data_Panel!H14</f>
        <v>832</v>
      </c>
      <c r="I8" s="25" t="n">
        <f aca="false">Data_Panel!I14</f>
        <v>-742</v>
      </c>
      <c r="J8" s="25" t="n">
        <f aca="false">Data_Panel!J14</f>
        <v>1208</v>
      </c>
    </row>
    <row r="9" customFormat="false" ht="15" hidden="false" customHeight="false" outlineLevel="0" collapsed="false">
      <c r="A9" s="6" t="s">
        <v>835</v>
      </c>
      <c r="B9" s="6" t="s">
        <v>103</v>
      </c>
      <c r="C9" s="6" t="s">
        <v>83</v>
      </c>
      <c r="D9" s="25" t="n">
        <f aca="false">Data_Panel!D15</f>
        <v>4829</v>
      </c>
      <c r="E9" s="25" t="n">
        <f aca="false">Data_Panel!E15</f>
        <v>4765</v>
      </c>
      <c r="F9" s="25" t="n">
        <f aca="false">Data_Panel!F15</f>
        <v>4268</v>
      </c>
      <c r="G9" s="25" t="n">
        <f aca="false">Data_Panel!G15</f>
        <v>4003</v>
      </c>
      <c r="H9" s="25" t="n">
        <f aca="false">Data_Panel!H15</f>
        <v>2588</v>
      </c>
      <c r="I9" s="25" t="n">
        <f aca="false">Data_Panel!I15</f>
        <v>1694</v>
      </c>
      <c r="J9" s="25" t="n">
        <f aca="false">Data_Panel!J15</f>
        <v>2767</v>
      </c>
    </row>
    <row r="10" customFormat="false" ht="15" hidden="false" customHeight="false" outlineLevel="0" collapsed="false">
      <c r="A10" s="6" t="s">
        <v>836</v>
      </c>
      <c r="B10" s="6" t="s">
        <v>837</v>
      </c>
      <c r="C10" s="6" t="s">
        <v>83</v>
      </c>
      <c r="D10" s="25" t="n">
        <f aca="false">Data_Panel!D25</f>
        <v>4391.684901</v>
      </c>
      <c r="E10" s="25" t="n">
        <f aca="false">Data_Panel!E25</f>
        <v>3864.039849</v>
      </c>
      <c r="F10" s="25" t="n">
        <f aca="false">Data_Panel!F25</f>
        <v>3387.040637</v>
      </c>
      <c r="G10" s="25" t="n">
        <f aca="false">Data_Panel!G25</f>
        <v>4363.286339</v>
      </c>
      <c r="H10" s="25" t="n">
        <f aca="false">Data_Panel!H25</f>
        <v>2017.886965</v>
      </c>
      <c r="I10" s="25" t="n">
        <f aca="false">Data_Panel!I25</f>
        <v>2805.38661</v>
      </c>
      <c r="J10" s="25" t="n">
        <f aca="false">Data_Panel!J25</f>
        <v>2431.811796</v>
      </c>
      <c r="K10" s="39" t="s">
        <v>838</v>
      </c>
    </row>
    <row r="11" customFormat="false" ht="15" hidden="false" customHeight="false" outlineLevel="0" collapsed="false">
      <c r="A11" s="6" t="s">
        <v>839</v>
      </c>
      <c r="B11" s="6" t="s">
        <v>840</v>
      </c>
      <c r="C11" s="6" t="s">
        <v>83</v>
      </c>
      <c r="D11" s="25" t="n">
        <f aca="false">Data_Panel!D26</f>
        <v>-2174.704044</v>
      </c>
      <c r="E11" s="25" t="n">
        <f aca="false">Data_Panel!E26</f>
        <v>-2107.591357</v>
      </c>
      <c r="F11" s="25" t="n">
        <f aca="false">Data_Panel!F26</f>
        <v>-2270.15096</v>
      </c>
      <c r="G11" s="25" t="n">
        <f aca="false">Data_Panel!G26</f>
        <v>-1745.550183</v>
      </c>
      <c r="H11" s="25" t="n">
        <f aca="false">Data_Panel!H26</f>
        <v>-1623.892695</v>
      </c>
      <c r="I11" s="25" t="n">
        <f aca="false">Data_Panel!I26</f>
        <v>-1688.265017</v>
      </c>
      <c r="J11" s="25" t="n">
        <f aca="false">Data_Panel!J26</f>
        <v>-1411.566982</v>
      </c>
      <c r="K11" s="39" t="s">
        <v>838</v>
      </c>
    </row>
    <row r="12" customFormat="false" ht="15" hidden="false" customHeight="false" outlineLevel="0" collapsed="false">
      <c r="A12" s="45" t="s">
        <v>841</v>
      </c>
      <c r="B12" s="46" t="s">
        <v>133</v>
      </c>
      <c r="C12" s="45" t="s">
        <v>83</v>
      </c>
      <c r="D12" s="55" t="n">
        <f aca="false">Data_Panel!D27</f>
        <v>2216.980857</v>
      </c>
      <c r="E12" s="55" t="n">
        <f aca="false">Data_Panel!E27</f>
        <v>1756.448492</v>
      </c>
      <c r="F12" s="55" t="n">
        <f aca="false">Data_Panel!F27</f>
        <v>1117</v>
      </c>
      <c r="G12" s="55" t="n">
        <f aca="false">Data_Panel!G27</f>
        <v>2617.625833</v>
      </c>
      <c r="H12" s="55" t="n">
        <f aca="false">Data_Panel!H27</f>
        <v>393.99427</v>
      </c>
      <c r="I12" s="55" t="n">
        <f aca="false">Data_Panel!I27</f>
        <v>1117.121593</v>
      </c>
      <c r="J12" s="55" t="n">
        <f aca="false">Data_Panel!J27</f>
        <v>1020.244813</v>
      </c>
      <c r="K12" s="39" t="s">
        <v>838</v>
      </c>
    </row>
    <row r="13" customFormat="false" ht="15" hidden="false" customHeight="false" outlineLevel="0" collapsed="false">
      <c r="A13" s="6" t="s">
        <v>842</v>
      </c>
      <c r="B13" s="6" t="s">
        <v>843</v>
      </c>
      <c r="C13" s="6" t="s">
        <v>83</v>
      </c>
      <c r="D13" s="34" t="n">
        <f aca="false">D12-(D10+D11)</f>
        <v>0</v>
      </c>
      <c r="E13" s="34" t="n">
        <f aca="false">E12-(E10+E11)</f>
        <v>0</v>
      </c>
      <c r="F13" s="34" t="n">
        <f aca="false">F12-(F10+F11)</f>
        <v>0.11032299999988</v>
      </c>
      <c r="G13" s="34" t="n">
        <f aca="false">G12-(G10+G11)</f>
        <v>-0.11032299999988</v>
      </c>
      <c r="H13" s="34" t="n">
        <f aca="false">H12-(H10+H11)</f>
        <v>0</v>
      </c>
      <c r="I13" s="34" t="n">
        <f aca="false">I12-(I10+I11)</f>
        <v>0</v>
      </c>
      <c r="J13" s="34" t="n">
        <f aca="false">J12-(J10+J11)</f>
        <v>-9.99999883788405E-007</v>
      </c>
      <c r="K13" s="39" t="s">
        <v>844</v>
      </c>
    </row>
    <row r="14" customFormat="false" ht="15" hidden="false" customHeight="false" outlineLevel="0" collapsed="false">
      <c r="A14" s="6" t="s">
        <v>845</v>
      </c>
      <c r="B14" s="6" t="s">
        <v>135</v>
      </c>
      <c r="C14" s="6" t="s">
        <v>83</v>
      </c>
      <c r="D14" s="25" t="n">
        <f aca="false">Data_Panel!D28</f>
        <v>6432.023429</v>
      </c>
      <c r="E14" s="25" t="n">
        <f aca="false">Data_Panel!E28</f>
        <v>7215.001118</v>
      </c>
      <c r="F14" s="25" t="n">
        <f aca="false">Data_Panel!F28</f>
        <v>6100.788136</v>
      </c>
      <c r="G14" s="25" t="n">
        <f aca="false">Data_Panel!G28</f>
        <v>8557.799768</v>
      </c>
      <c r="H14" s="25" t="n">
        <f aca="false">Data_Panel!H28</f>
        <v>6167.235104</v>
      </c>
      <c r="I14" s="25" t="n">
        <f aca="false">Data_Panel!I28</f>
        <v>7346.110286</v>
      </c>
      <c r="J14" s="25" t="n">
        <f aca="false">Data_Panel!J28</f>
        <v>7301.571233</v>
      </c>
    </row>
    <row r="15" customFormat="false" ht="15" hidden="false" customHeight="false" outlineLevel="0" collapsed="false">
      <c r="A15" s="35" t="s">
        <v>846</v>
      </c>
      <c r="B15" s="36"/>
      <c r="C15" s="36"/>
      <c r="D15" s="36"/>
      <c r="E15" s="36"/>
      <c r="F15" s="36"/>
      <c r="G15" s="36"/>
      <c r="H15" s="36"/>
      <c r="I15" s="36"/>
      <c r="J15" s="36"/>
      <c r="K15" s="36"/>
    </row>
    <row r="16" customFormat="false" ht="15" hidden="false" customHeight="false" outlineLevel="0" collapsed="false">
      <c r="A16" s="6" t="s">
        <v>847</v>
      </c>
      <c r="B16" s="3" t="s">
        <v>848</v>
      </c>
      <c r="C16" s="6" t="s">
        <v>106</v>
      </c>
      <c r="D16" s="32" t="n">
        <f aca="false">D12/D7</f>
        <v>0.117350246506458</v>
      </c>
      <c r="E16" s="32" t="n">
        <f aca="false">E12/E7</f>
        <v>0.0951643545538278</v>
      </c>
      <c r="F16" s="32" t="n">
        <f aca="false">F12/F7</f>
        <v>0.0631251766035603</v>
      </c>
      <c r="G16" s="32" t="n">
        <f aca="false">G12/G7</f>
        <v>0.139658850397482</v>
      </c>
      <c r="H16" s="32" t="n">
        <f aca="false">H12/H7</f>
        <v>0.0244140705167927</v>
      </c>
      <c r="I16" s="32" t="n">
        <f aca="false">I12/I7</f>
        <v>0.0696156037265533</v>
      </c>
      <c r="J16" s="32" t="n">
        <f aca="false">J12/J7</f>
        <v>0.067307350112152</v>
      </c>
    </row>
    <row r="17" customFormat="false" ht="15" hidden="false" customHeight="false" outlineLevel="0" collapsed="false">
      <c r="A17" s="6" t="s">
        <v>849</v>
      </c>
      <c r="B17" s="6" t="s">
        <v>850</v>
      </c>
      <c r="C17" s="6" t="s">
        <v>106</v>
      </c>
      <c r="F17" s="41" t="n">
        <v>0.063</v>
      </c>
      <c r="H17" s="41" t="n">
        <v>0.024</v>
      </c>
      <c r="J17" s="41" t="n">
        <v>0.067</v>
      </c>
      <c r="K17" s="39" t="s">
        <v>851</v>
      </c>
    </row>
    <row r="18" customFormat="false" ht="15" hidden="false" customHeight="false" outlineLevel="0" collapsed="false">
      <c r="A18" s="6" t="s">
        <v>852</v>
      </c>
      <c r="B18" s="6" t="s">
        <v>713</v>
      </c>
      <c r="C18" s="6" t="s">
        <v>470</v>
      </c>
      <c r="D18" s="42" t="n">
        <f aca="false">IF(D17="",0,(D16-D17)*100)</f>
        <v>0</v>
      </c>
      <c r="E18" s="42" t="n">
        <f aca="false">IF(E17="",0,(E16-E17)*100)</f>
        <v>0</v>
      </c>
      <c r="F18" s="42" t="n">
        <f aca="false">IF(F17="",0,(F16-F17)*100)</f>
        <v>0.0125176603560331</v>
      </c>
      <c r="G18" s="42" t="n">
        <f aca="false">IF(G17="",0,(G16-G17)*100)</f>
        <v>0</v>
      </c>
      <c r="H18" s="42" t="n">
        <f aca="false">IF(H17="",0,(H16-H17)*100)</f>
        <v>0.041407051679266</v>
      </c>
      <c r="I18" s="42" t="n">
        <f aca="false">IF(I17="",0,(I16-I17)*100)</f>
        <v>0</v>
      </c>
      <c r="J18" s="42" t="n">
        <f aca="false">IF(J17="",0,(J16-J17)*100)</f>
        <v>0.0307350112151994</v>
      </c>
    </row>
    <row r="19" customFormat="false" ht="15" hidden="false" customHeight="false" outlineLevel="0" collapsed="false">
      <c r="A19" s="6" t="s">
        <v>853</v>
      </c>
      <c r="B19" s="6" t="s">
        <v>854</v>
      </c>
      <c r="C19" s="6" t="s">
        <v>106</v>
      </c>
      <c r="D19" s="28" t="n">
        <f aca="false">D9/D7</f>
        <v>0.255610840567436</v>
      </c>
      <c r="E19" s="28" t="n">
        <f aca="false">E9/E7</f>
        <v>0.258167632876416</v>
      </c>
      <c r="F19" s="28" t="n">
        <f aca="false">F9/F7</f>
        <v>0.241198078553264</v>
      </c>
      <c r="G19" s="28" t="n">
        <f aca="false">G9/G7</f>
        <v>0.213573067278451</v>
      </c>
      <c r="H19" s="28" t="n">
        <f aca="false">H9/H7</f>
        <v>0.160366836039162</v>
      </c>
      <c r="I19" s="28" t="n">
        <f aca="false">I9/I7</f>
        <v>0.105564903097152</v>
      </c>
      <c r="J19" s="28" t="n">
        <f aca="false">J9/J7</f>
        <v>0.182543871223117</v>
      </c>
    </row>
    <row r="20" customFormat="false" ht="15" hidden="false" customHeight="false" outlineLevel="0" collapsed="false">
      <c r="A20" s="6" t="s">
        <v>855</v>
      </c>
      <c r="B20" s="6" t="s">
        <v>856</v>
      </c>
      <c r="C20" s="6" t="s">
        <v>106</v>
      </c>
      <c r="D20" s="28" t="n">
        <f aca="false">IF(Data_Panel!D16="","",Data_Panel!D16/100)</f>
        <v>0.256</v>
      </c>
      <c r="E20" s="28" t="str">
        <f aca="false">IF(Data_Panel!E16="","",Data_Panel!E16/100)</f>
        <v/>
      </c>
      <c r="F20" s="28" t="n">
        <f aca="false">IF(Data_Panel!F16="","",Data_Panel!F16/100)</f>
        <v>0.241</v>
      </c>
      <c r="G20" s="28" t="str">
        <f aca="false">IF(Data_Panel!G16="","",Data_Panel!G16/100)</f>
        <v/>
      </c>
      <c r="H20" s="28" t="n">
        <f aca="false">IF(Data_Panel!H16="","",Data_Panel!H16/100)</f>
        <v>0.16</v>
      </c>
      <c r="I20" s="28" t="str">
        <f aca="false">IF(Data_Panel!I16="","",Data_Panel!I16/100)</f>
        <v/>
      </c>
      <c r="J20" s="28" t="n">
        <f aca="false">IF(Data_Panel!J16="","",Data_Panel!J16/100)</f>
        <v>0.183</v>
      </c>
    </row>
    <row r="21" customFormat="false" ht="15" hidden="false" customHeight="false" outlineLevel="0" collapsed="false">
      <c r="A21" s="6" t="s">
        <v>857</v>
      </c>
      <c r="B21" s="6" t="s">
        <v>713</v>
      </c>
      <c r="C21" s="6" t="s">
        <v>470</v>
      </c>
      <c r="D21" s="42" t="n">
        <f aca="false">IF(D20="",0,(D19-D20)*100)</f>
        <v>-0.0389159432564068</v>
      </c>
      <c r="E21" s="42" t="n">
        <f aca="false">IF(E20="",0,(E19-E20)*100)</f>
        <v>0</v>
      </c>
      <c r="F21" s="42" t="n">
        <f aca="false">IF(F20="",0,(F19-F20)*100)</f>
        <v>0.019807855326362</v>
      </c>
      <c r="G21" s="42" t="n">
        <f aca="false">IF(G20="",0,(G19-G20)*100)</f>
        <v>0</v>
      </c>
      <c r="H21" s="42" t="n">
        <f aca="false">IF(H20="",0,(H19-H20)*100)</f>
        <v>0.0366836039162211</v>
      </c>
      <c r="I21" s="42" t="n">
        <f aca="false">IF(I20="",0,(I19-I20)*100)</f>
        <v>0</v>
      </c>
      <c r="J21" s="42" t="n">
        <f aca="false">IF(J20="",0,(J19-J20)*100)</f>
        <v>-0.0456128776883502</v>
      </c>
    </row>
    <row r="22" customFormat="false" ht="15" hidden="false" customHeight="false" outlineLevel="0" collapsed="false">
      <c r="A22" s="6" t="s">
        <v>858</v>
      </c>
      <c r="B22" s="6" t="s">
        <v>859</v>
      </c>
      <c r="C22" s="6" t="s">
        <v>860</v>
      </c>
      <c r="D22" s="56" t="n">
        <f aca="false">D10/D9</f>
        <v>0.90943982211638</v>
      </c>
      <c r="E22" s="56" t="n">
        <f aca="false">E10/E9</f>
        <v>0.810921269464848</v>
      </c>
      <c r="F22" s="56" t="n">
        <f aca="false">F10/F9</f>
        <v>0.793589652530459</v>
      </c>
      <c r="G22" s="56" t="n">
        <f aca="false">G10/G9</f>
        <v>1.09000408168873</v>
      </c>
      <c r="H22" s="56" t="n">
        <f aca="false">H10/H9</f>
        <v>0.77970902820711</v>
      </c>
      <c r="I22" s="56" t="n">
        <f aca="false">I10/I9</f>
        <v>1.65607237898465</v>
      </c>
      <c r="J22" s="56" t="n">
        <f aca="false">J10/J9</f>
        <v>0.878862232020239</v>
      </c>
    </row>
    <row r="23" customFormat="false" ht="15" hidden="false" customHeight="false" outlineLevel="0" collapsed="false">
      <c r="A23" s="6" t="s">
        <v>861</v>
      </c>
      <c r="B23" s="6" t="s">
        <v>862</v>
      </c>
      <c r="C23" s="6" t="s">
        <v>860</v>
      </c>
      <c r="D23" s="56" t="n">
        <f aca="false">IF(D8&gt;0,D12/D8,"n/m")</f>
        <v>0.606893199288256</v>
      </c>
      <c r="E23" s="56" t="n">
        <f aca="false">IF(E8&gt;0,E12/E8,"n/m")</f>
        <v>0.534687516590563</v>
      </c>
      <c r="F23" s="56" t="n">
        <f aca="false">IF(F8&gt;0,F12/F8,"n/m")</f>
        <v>0.384641873278237</v>
      </c>
      <c r="G23" s="56" t="n">
        <f aca="false">IF(G8&gt;0,G12/G8,"n/m")</f>
        <v>1.09891932535684</v>
      </c>
      <c r="H23" s="56" t="n">
        <f aca="false">IF(H8&gt;0,H12/H8,"n/m")</f>
        <v>0.473550805288462</v>
      </c>
      <c r="I23" s="56" t="str">
        <f aca="false">IF(I8&gt;0,I12/I8,"n/m")</f>
        <v>n/m</v>
      </c>
      <c r="J23" s="56" t="n">
        <f aca="false">IF(J8&gt;0,J12/J8,"n/m")</f>
        <v>0.844573520695364</v>
      </c>
    </row>
    <row r="24" customFormat="false" ht="15" hidden="false" customHeight="false" outlineLevel="0" collapsed="false">
      <c r="A24" s="35" t="s">
        <v>863</v>
      </c>
      <c r="B24" s="36"/>
      <c r="C24" s="36"/>
      <c r="D24" s="36"/>
      <c r="E24" s="36"/>
      <c r="F24" s="36"/>
      <c r="G24" s="36"/>
      <c r="H24" s="36"/>
      <c r="I24" s="36"/>
      <c r="J24" s="36"/>
      <c r="K24" s="36"/>
    </row>
    <row r="25" customFormat="false" ht="15" hidden="false" customHeight="false" outlineLevel="0" collapsed="false">
      <c r="A25" s="6" t="s">
        <v>864</v>
      </c>
      <c r="B25" s="6" t="s">
        <v>122</v>
      </c>
      <c r="C25" s="6" t="s">
        <v>83</v>
      </c>
      <c r="D25" s="25" t="n">
        <f aca="false">Data_Panel!D22</f>
        <v>866</v>
      </c>
      <c r="E25" s="25" t="n">
        <f aca="false">Data_Panel!E22</f>
        <v>1098</v>
      </c>
      <c r="F25" s="25" t="n">
        <f aca="false">Data_Panel!F22</f>
        <v>850</v>
      </c>
      <c r="G25" s="25" t="n">
        <f aca="false">Data_Panel!G22</f>
        <v>1269</v>
      </c>
      <c r="H25" s="25" t="n">
        <f aca="false">Data_Panel!H22</f>
        <v>965</v>
      </c>
      <c r="I25" s="25" t="n">
        <f aca="false">Data_Panel!I22</f>
        <v>1172</v>
      </c>
      <c r="J25" s="25" t="n">
        <f aca="false">Data_Panel!J22</f>
        <v>906</v>
      </c>
    </row>
    <row r="26" customFormat="false" ht="15" hidden="false" customHeight="false" outlineLevel="0" collapsed="false">
      <c r="A26" s="6" t="s">
        <v>865</v>
      </c>
      <c r="B26" s="6" t="s">
        <v>866</v>
      </c>
      <c r="C26" s="6" t="s">
        <v>83</v>
      </c>
      <c r="D26" s="25" t="n">
        <f aca="false">Data_Panel!D18</f>
        <v>1201</v>
      </c>
      <c r="E26" s="25" t="n">
        <f aca="false">Data_Panel!E18</f>
        <v>880</v>
      </c>
      <c r="F26" s="25" t="n">
        <f aca="false">Data_Panel!F18</f>
        <v>1123</v>
      </c>
      <c r="G26" s="25" t="n">
        <f aca="false">Data_Panel!G18</f>
        <v>460</v>
      </c>
      <c r="H26" s="25" t="n">
        <f aca="false">Data_Panel!H18</f>
        <v>575</v>
      </c>
      <c r="I26" s="25" t="n">
        <f aca="false">Data_Panel!I18</f>
        <v>388</v>
      </c>
      <c r="J26" s="25" t="n">
        <f aca="false">Data_Panel!J18</f>
        <v>487</v>
      </c>
    </row>
    <row r="27" customFormat="false" ht="15" hidden="false" customHeight="false" outlineLevel="0" collapsed="false">
      <c r="A27" s="6" t="s">
        <v>867</v>
      </c>
      <c r="B27" s="6" t="s">
        <v>868</v>
      </c>
      <c r="C27" s="6" t="s">
        <v>83</v>
      </c>
      <c r="D27" s="14" t="n">
        <f aca="false">D25+D26</f>
        <v>2067</v>
      </c>
      <c r="E27" s="14" t="n">
        <f aca="false">E25+E26</f>
        <v>1978</v>
      </c>
      <c r="F27" s="14" t="n">
        <f aca="false">F25+F26</f>
        <v>1973</v>
      </c>
      <c r="G27" s="14" t="n">
        <f aca="false">G25+G26</f>
        <v>1729</v>
      </c>
      <c r="H27" s="14" t="n">
        <f aca="false">H25+H26</f>
        <v>1540</v>
      </c>
      <c r="I27" s="14" t="n">
        <f aca="false">I25+I26</f>
        <v>1560</v>
      </c>
      <c r="J27" s="14" t="n">
        <f aca="false">J25+J26</f>
        <v>1393</v>
      </c>
    </row>
    <row r="28" customFormat="false" ht="15" hidden="false" customHeight="false" outlineLevel="0" collapsed="false">
      <c r="A28" s="6" t="s">
        <v>869</v>
      </c>
      <c r="B28" s="6" t="s">
        <v>870</v>
      </c>
      <c r="C28" s="6" t="s">
        <v>83</v>
      </c>
      <c r="D28" s="14" t="n">
        <f aca="false">-D11-D27</f>
        <v>107.704044</v>
      </c>
      <c r="E28" s="14" t="n">
        <f aca="false">-E11-E27</f>
        <v>129.591357</v>
      </c>
      <c r="F28" s="14" t="n">
        <f aca="false">-F11-F27</f>
        <v>297.15096</v>
      </c>
      <c r="G28" s="14" t="n">
        <f aca="false">-G11-G27</f>
        <v>16.5501830000001</v>
      </c>
      <c r="H28" s="14" t="n">
        <f aca="false">-H11-H27</f>
        <v>83.892695</v>
      </c>
      <c r="I28" s="14" t="n">
        <f aca="false">-I11-I27</f>
        <v>128.265017</v>
      </c>
      <c r="J28" s="14" t="n">
        <f aca="false">-J11-J27</f>
        <v>18.5669820000001</v>
      </c>
    </row>
    <row r="29" customFormat="false" ht="15" hidden="false" customHeight="false" outlineLevel="0" collapsed="false">
      <c r="A29" s="6" t="s">
        <v>871</v>
      </c>
      <c r="B29" s="3" t="s">
        <v>872</v>
      </c>
      <c r="C29" s="6" t="s">
        <v>83</v>
      </c>
      <c r="D29" s="26" t="n">
        <f aca="false">D9-D25-D26</f>
        <v>2762</v>
      </c>
      <c r="E29" s="26" t="n">
        <f aca="false">E9-E25-E26</f>
        <v>2787</v>
      </c>
      <c r="F29" s="26" t="n">
        <f aca="false">F9-F25-F26</f>
        <v>2295</v>
      </c>
      <c r="G29" s="26" t="n">
        <f aca="false">G9-G25-G26</f>
        <v>2274</v>
      </c>
      <c r="H29" s="26" t="n">
        <f aca="false">H9-H25-H26</f>
        <v>1048</v>
      </c>
      <c r="I29" s="26" t="n">
        <f aca="false">I9-I25-I26</f>
        <v>134</v>
      </c>
      <c r="J29" s="26" t="n">
        <f aca="false">J9-J25-J26</f>
        <v>1374</v>
      </c>
    </row>
    <row r="30" customFormat="false" ht="15" hidden="false" customHeight="false" outlineLevel="0" collapsed="false">
      <c r="A30" s="6" t="s">
        <v>873</v>
      </c>
      <c r="B30" s="3" t="s">
        <v>874</v>
      </c>
      <c r="C30" s="6" t="s">
        <v>83</v>
      </c>
      <c r="D30" s="26" t="n">
        <f aca="false">D12-D29</f>
        <v>-545.019143</v>
      </c>
      <c r="E30" s="26" t="n">
        <f aca="false">E12-E29</f>
        <v>-1030.551508</v>
      </c>
      <c r="F30" s="26" t="n">
        <f aca="false">F12-F29</f>
        <v>-1178</v>
      </c>
      <c r="G30" s="26" t="n">
        <f aca="false">G12-G29</f>
        <v>343.625833</v>
      </c>
      <c r="H30" s="26" t="n">
        <f aca="false">H12-H29</f>
        <v>-654.00573</v>
      </c>
      <c r="I30" s="26" t="n">
        <f aca="false">I12-I29</f>
        <v>983.121593</v>
      </c>
      <c r="J30" s="26" t="n">
        <f aca="false">J12-J29</f>
        <v>-353.755187</v>
      </c>
    </row>
    <row r="32" customFormat="false" ht="15" hidden="false" customHeight="false" outlineLevel="0" collapsed="false">
      <c r="B32" s="16" t="s">
        <v>875</v>
      </c>
    </row>
    <row r="33" customFormat="false" ht="120" hidden="false" customHeight="true" outlineLevel="0" collapsed="false">
      <c r="H33" s="39" t="s">
        <v>876</v>
      </c>
      <c r="J33" s="39" t="s">
        <v>877</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true"/>
  </sheetPr>
  <dimension ref="A1:P96"/>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40"/>
    <col collapsed="false" customWidth="true" hidden="false" outlineLevel="0" max="15" min="3" style="0" width="12"/>
    <col collapsed="false" customWidth="true" hidden="false" outlineLevel="0" max="16" min="16" style="0" width="40"/>
  </cols>
  <sheetData>
    <row r="1" customFormat="false" ht="17.35" hidden="false" customHeight="false" outlineLevel="0" collapsed="false">
      <c r="A1" s="1" t="s">
        <v>878</v>
      </c>
    </row>
    <row r="2" customFormat="false" ht="15" hidden="false" customHeight="false" outlineLevel="0" collapsed="false">
      <c r="A2" s="2" t="s">
        <v>879</v>
      </c>
    </row>
    <row r="3" customFormat="false" ht="15" hidden="false" customHeight="false" outlineLevel="0" collapsed="false">
      <c r="A3" s="3" t="s">
        <v>880</v>
      </c>
    </row>
    <row r="4" customFormat="false" ht="15" hidden="false" customHeight="false" outlineLevel="0" collapsed="false">
      <c r="A4" s="57" t="s">
        <v>881</v>
      </c>
      <c r="B4" s="58"/>
      <c r="C4" s="58"/>
      <c r="D4" s="58"/>
      <c r="E4" s="58"/>
      <c r="F4" s="58"/>
      <c r="G4" s="58"/>
      <c r="H4" s="58"/>
      <c r="I4" s="58"/>
      <c r="J4" s="58"/>
      <c r="K4" s="58"/>
      <c r="L4" s="58"/>
      <c r="M4" s="58"/>
      <c r="N4" s="58"/>
      <c r="O4" s="58"/>
      <c r="P4" s="58"/>
    </row>
    <row r="6" customFormat="false" ht="15" hidden="false" customHeight="false" outlineLevel="0" collapsed="false">
      <c r="A6" s="13" t="s">
        <v>882</v>
      </c>
      <c r="B6" s="13" t="s">
        <v>883</v>
      </c>
      <c r="C6" s="13" t="s">
        <v>72</v>
      </c>
      <c r="D6" s="13" t="s">
        <v>884</v>
      </c>
      <c r="E6" s="13" t="s">
        <v>885</v>
      </c>
      <c r="F6" s="13" t="s">
        <v>886</v>
      </c>
      <c r="G6" s="13" t="s">
        <v>887</v>
      </c>
      <c r="H6" s="13"/>
      <c r="I6" s="13"/>
      <c r="J6" s="13" t="s">
        <v>888</v>
      </c>
      <c r="K6" s="13" t="s">
        <v>889</v>
      </c>
      <c r="L6" s="13" t="s">
        <v>890</v>
      </c>
    </row>
    <row r="7" customFormat="false" ht="15" hidden="false" customHeight="false" outlineLevel="0" collapsed="false">
      <c r="A7" s="6" t="s">
        <v>891</v>
      </c>
      <c r="B7" s="6" t="s">
        <v>892</v>
      </c>
      <c r="C7" s="6" t="s">
        <v>106</v>
      </c>
      <c r="D7" s="59" t="n">
        <v>0.24</v>
      </c>
      <c r="E7" s="60" t="n">
        <f aca="false">(D7+F7)/2</f>
        <v>0.25</v>
      </c>
      <c r="F7" s="59" t="n">
        <v>0.26</v>
      </c>
      <c r="G7" s="2" t="s">
        <v>893</v>
      </c>
      <c r="J7" s="6" t="s">
        <v>193</v>
      </c>
      <c r="K7" s="6" t="s">
        <v>150</v>
      </c>
      <c r="L7" s="2" t="s">
        <v>894</v>
      </c>
    </row>
    <row r="8" customFormat="false" ht="15" hidden="false" customHeight="false" outlineLevel="0" collapsed="false">
      <c r="A8" s="6" t="s">
        <v>895</v>
      </c>
      <c r="B8" s="6" t="s">
        <v>198</v>
      </c>
      <c r="C8" s="6" t="s">
        <v>106</v>
      </c>
      <c r="D8" s="59" t="n">
        <v>0.15</v>
      </c>
      <c r="E8" s="60" t="n">
        <f aca="false">(D8+F8)/2</f>
        <v>0.16</v>
      </c>
      <c r="F8" s="59" t="n">
        <v>0.17</v>
      </c>
      <c r="G8" s="2" t="s">
        <v>896</v>
      </c>
      <c r="J8" s="6" t="s">
        <v>193</v>
      </c>
      <c r="K8" s="6" t="s">
        <v>150</v>
      </c>
      <c r="L8" s="2" t="s">
        <v>894</v>
      </c>
    </row>
    <row r="9" customFormat="false" ht="15" hidden="false" customHeight="false" outlineLevel="0" collapsed="false">
      <c r="A9" s="6" t="s">
        <v>897</v>
      </c>
      <c r="B9" s="6" t="s">
        <v>898</v>
      </c>
      <c r="C9" s="6" t="s">
        <v>83</v>
      </c>
      <c r="D9" s="21" t="n">
        <v>800</v>
      </c>
      <c r="E9" s="61" t="n">
        <f aca="false">(D9+F9)/2</f>
        <v>850</v>
      </c>
      <c r="F9" s="21" t="n">
        <v>900</v>
      </c>
      <c r="G9" s="2" t="s">
        <v>899</v>
      </c>
      <c r="J9" s="6" t="s">
        <v>193</v>
      </c>
      <c r="K9" s="6" t="s">
        <v>900</v>
      </c>
      <c r="L9" s="2" t="s">
        <v>901</v>
      </c>
    </row>
    <row r="10" customFormat="false" ht="15" hidden="false" customHeight="false" outlineLevel="0" collapsed="false">
      <c r="A10" s="6" t="s">
        <v>902</v>
      </c>
      <c r="B10" s="6" t="s">
        <v>903</v>
      </c>
      <c r="C10" s="6" t="s">
        <v>106</v>
      </c>
      <c r="D10" s="59" t="n">
        <v>0.03</v>
      </c>
      <c r="E10" s="60" t="n">
        <f aca="false">(D10+F10)/2</f>
        <v>0.04</v>
      </c>
      <c r="F10" s="59" t="n">
        <v>0.05</v>
      </c>
      <c r="G10" s="2" t="s">
        <v>904</v>
      </c>
      <c r="J10" s="6" t="s">
        <v>193</v>
      </c>
      <c r="K10" s="6" t="s">
        <v>150</v>
      </c>
      <c r="L10" s="2" t="s">
        <v>894</v>
      </c>
    </row>
    <row r="11" customFormat="false" ht="15" hidden="false" customHeight="false" outlineLevel="0" collapsed="false">
      <c r="A11" s="6" t="s">
        <v>905</v>
      </c>
      <c r="B11" s="6" t="s">
        <v>82</v>
      </c>
      <c r="C11" s="6" t="s">
        <v>83</v>
      </c>
      <c r="D11" s="21" t="n">
        <v>35000</v>
      </c>
      <c r="E11" s="61" t="n">
        <f aca="false">(D11+F11)/2</f>
        <v>35500</v>
      </c>
      <c r="F11" s="21" t="n">
        <v>36000</v>
      </c>
      <c r="G11" s="2" t="s">
        <v>906</v>
      </c>
      <c r="J11" s="6" t="s">
        <v>193</v>
      </c>
      <c r="K11" s="6" t="s">
        <v>150</v>
      </c>
      <c r="L11" s="2" t="s">
        <v>907</v>
      </c>
    </row>
    <row r="12" customFormat="false" ht="15" hidden="false" customHeight="false" outlineLevel="0" collapsed="false">
      <c r="A12" s="6" t="s">
        <v>908</v>
      </c>
      <c r="B12" s="6" t="s">
        <v>909</v>
      </c>
      <c r="C12" s="6" t="s">
        <v>106</v>
      </c>
      <c r="D12" s="59" t="n">
        <v>0.055</v>
      </c>
      <c r="E12" s="60" t="n">
        <f aca="false">(D12+F12)/2</f>
        <v>0.065</v>
      </c>
      <c r="F12" s="59" t="n">
        <v>0.075</v>
      </c>
      <c r="G12" s="2" t="s">
        <v>910</v>
      </c>
      <c r="J12" s="6" t="s">
        <v>193</v>
      </c>
      <c r="K12" s="6" t="s">
        <v>150</v>
      </c>
      <c r="L12" s="2" t="s">
        <v>894</v>
      </c>
    </row>
    <row r="14" customFormat="false" ht="15" hidden="false" customHeight="false" outlineLevel="0" collapsed="false">
      <c r="A14" s="2" t="s">
        <v>911</v>
      </c>
    </row>
    <row r="16" customFormat="false" ht="15" hidden="false" customHeight="false" outlineLevel="0" collapsed="false">
      <c r="A16" s="13" t="s">
        <v>912</v>
      </c>
      <c r="B16" s="13" t="s">
        <v>913</v>
      </c>
      <c r="C16" s="13" t="s">
        <v>183</v>
      </c>
      <c r="D16" s="13"/>
      <c r="E16" s="13"/>
      <c r="F16" s="13"/>
      <c r="G16" s="13" t="s">
        <v>914</v>
      </c>
    </row>
    <row r="17" customFormat="false" ht="15" hidden="false" customHeight="false" outlineLevel="0" collapsed="false">
      <c r="A17" s="6" t="s">
        <v>915</v>
      </c>
      <c r="B17" s="6" t="s">
        <v>916</v>
      </c>
      <c r="C17" s="38" t="n">
        <f aca="false">EBIT_Analysis!J7</f>
        <v>17229.455528</v>
      </c>
      <c r="G17" s="2" t="s">
        <v>917</v>
      </c>
    </row>
    <row r="18" customFormat="false" ht="15" hidden="false" customHeight="false" outlineLevel="0" collapsed="false">
      <c r="A18" s="6" t="s">
        <v>918</v>
      </c>
      <c r="B18" s="6" t="s">
        <v>919</v>
      </c>
      <c r="C18" s="38" t="n">
        <f aca="false">EBIT_Analysis!J8</f>
        <v>1348.185049</v>
      </c>
      <c r="G18" s="2" t="s">
        <v>920</v>
      </c>
    </row>
    <row r="19" customFormat="false" ht="15" hidden="false" customHeight="false" outlineLevel="0" collapsed="false">
      <c r="A19" s="6" t="s">
        <v>921</v>
      </c>
      <c r="B19" s="6" t="s">
        <v>922</v>
      </c>
      <c r="C19" s="38" t="n">
        <f aca="false">EBIT_Analysis!J13</f>
        <v>100</v>
      </c>
      <c r="G19" s="2" t="s">
        <v>923</v>
      </c>
    </row>
    <row r="20" customFormat="false" ht="15" hidden="false" customHeight="false" outlineLevel="0" collapsed="false">
      <c r="A20" s="6" t="s">
        <v>924</v>
      </c>
      <c r="B20" s="6" t="s">
        <v>925</v>
      </c>
      <c r="C20" s="38" t="n">
        <f aca="false">EBIT_Analysis!J15</f>
        <v>400</v>
      </c>
      <c r="G20" s="2" t="s">
        <v>926</v>
      </c>
    </row>
    <row r="21" customFormat="false" ht="15" hidden="false" customHeight="false" outlineLevel="0" collapsed="false">
      <c r="A21" s="6" t="s">
        <v>927</v>
      </c>
      <c r="B21" s="6" t="s">
        <v>928</v>
      </c>
      <c r="C21" s="62" t="n">
        <f aca="false">EBIT_Analysis!J9</f>
        <v>0.0782488481315636</v>
      </c>
      <c r="G21" s="2" t="s">
        <v>929</v>
      </c>
    </row>
    <row r="22" customFormat="false" ht="15" hidden="false" customHeight="false" outlineLevel="0" collapsed="false">
      <c r="A22" s="6" t="s">
        <v>930</v>
      </c>
      <c r="B22" s="6" t="s">
        <v>931</v>
      </c>
      <c r="C22" s="62" t="n">
        <f aca="false">EBIT_Analysis!J20</f>
        <v>0.0840528620678999</v>
      </c>
      <c r="G22" s="2" t="s">
        <v>932</v>
      </c>
    </row>
    <row r="23" customFormat="false" ht="15" hidden="false" customHeight="false" outlineLevel="0" collapsed="false">
      <c r="A23" s="6" t="s">
        <v>933</v>
      </c>
      <c r="B23" s="6" t="s">
        <v>934</v>
      </c>
      <c r="C23" s="62" t="n">
        <f aca="false">EBIT_Analysis!J22</f>
        <v>0.107268917813245</v>
      </c>
      <c r="G23" s="2" t="s">
        <v>935</v>
      </c>
    </row>
    <row r="24" customFormat="false" ht="15" hidden="false" customHeight="false" outlineLevel="0" collapsed="false">
      <c r="A24" s="6" t="s">
        <v>936</v>
      </c>
      <c r="B24" s="6" t="s">
        <v>937</v>
      </c>
      <c r="C24" s="62" t="n">
        <f aca="false">EBIT_Analysis!I9</f>
        <v>-0.0327644785831456</v>
      </c>
      <c r="G24" s="2" t="s">
        <v>929</v>
      </c>
    </row>
    <row r="25" customFormat="false" ht="15" hidden="false" customHeight="false" outlineLevel="0" collapsed="false">
      <c r="A25" s="6" t="s">
        <v>938</v>
      </c>
      <c r="B25" s="6" t="s">
        <v>939</v>
      </c>
      <c r="C25" s="62" t="n">
        <f aca="false">EBIT_Analysis!I20</f>
        <v>0.0997271434908945</v>
      </c>
      <c r="G25" s="2" t="s">
        <v>932</v>
      </c>
    </row>
    <row r="26" customFormat="false" ht="15" hidden="false" customHeight="false" outlineLevel="0" collapsed="false">
      <c r="A26" s="6" t="s">
        <v>940</v>
      </c>
      <c r="B26" s="6" t="s">
        <v>941</v>
      </c>
      <c r="C26" s="38" t="n">
        <f aca="false">Cash_Crosscheck!J7</f>
        <v>15158</v>
      </c>
      <c r="G26" s="2" t="s">
        <v>942</v>
      </c>
    </row>
    <row r="27" customFormat="false" ht="15" hidden="false" customHeight="false" outlineLevel="0" collapsed="false">
      <c r="A27" s="6" t="s">
        <v>943</v>
      </c>
      <c r="B27" s="6" t="s">
        <v>944</v>
      </c>
      <c r="C27" s="38" t="n">
        <f aca="false">Cash_Crosscheck!J9</f>
        <v>2767</v>
      </c>
      <c r="G27" s="2" t="s">
        <v>945</v>
      </c>
    </row>
    <row r="28" customFormat="false" ht="15" hidden="false" customHeight="false" outlineLevel="0" collapsed="false">
      <c r="A28" s="6" t="s">
        <v>946</v>
      </c>
      <c r="B28" s="6" t="s">
        <v>947</v>
      </c>
      <c r="C28" s="38" t="n">
        <f aca="false">Cash_Crosscheck!J12</f>
        <v>1020.244813</v>
      </c>
      <c r="G28" s="2" t="s">
        <v>948</v>
      </c>
    </row>
    <row r="29" customFormat="false" ht="15" hidden="false" customHeight="false" outlineLevel="0" collapsed="false">
      <c r="A29" s="6" t="s">
        <v>949</v>
      </c>
      <c r="B29" s="6" t="s">
        <v>950</v>
      </c>
      <c r="C29" s="60" t="n">
        <f aca="false">C26/C17</f>
        <v>0.87977243246987</v>
      </c>
      <c r="G29" s="2" t="s">
        <v>951</v>
      </c>
    </row>
    <row r="30" customFormat="false" ht="15" hidden="false" customHeight="false" outlineLevel="0" collapsed="false">
      <c r="A30" s="6" t="s">
        <v>952</v>
      </c>
      <c r="B30" s="6" t="s">
        <v>953</v>
      </c>
      <c r="C30" s="61" t="n">
        <f aca="false">C20</f>
        <v>400</v>
      </c>
      <c r="G30" s="2" t="s">
        <v>954</v>
      </c>
    </row>
    <row r="31" customFormat="false" ht="15" hidden="false" customHeight="false" outlineLevel="0" collapsed="false">
      <c r="A31" s="6" t="s">
        <v>955</v>
      </c>
      <c r="B31" s="6" t="s">
        <v>956</v>
      </c>
      <c r="C31" s="21" t="n">
        <v>300</v>
      </c>
      <c r="G31" s="2" t="s">
        <v>957</v>
      </c>
    </row>
    <row r="33" customFormat="false" ht="15" hidden="false" customHeight="false" outlineLevel="0" collapsed="false">
      <c r="A33" s="35" t="s">
        <v>958</v>
      </c>
      <c r="B33" s="36"/>
      <c r="C33" s="36"/>
      <c r="D33" s="36"/>
      <c r="E33" s="36"/>
      <c r="F33" s="36"/>
      <c r="G33" s="36"/>
      <c r="H33" s="36"/>
      <c r="I33" s="36"/>
      <c r="J33" s="36"/>
      <c r="K33" s="36"/>
      <c r="L33" s="36"/>
      <c r="M33" s="36"/>
      <c r="N33" s="36"/>
      <c r="O33" s="36"/>
      <c r="P33" s="36"/>
    </row>
    <row r="34" customFormat="false" ht="15" hidden="false" customHeight="false" outlineLevel="0" collapsed="false">
      <c r="B34" s="6" t="s">
        <v>959</v>
      </c>
      <c r="C34" s="63" t="s">
        <v>885</v>
      </c>
      <c r="D34" s="64" t="n">
        <f aca="false">SUMIFS($D$11:$F$11,$D$6:$F$6,C34)</f>
        <v>35500</v>
      </c>
    </row>
    <row r="35" customFormat="false" ht="15" hidden="false" customHeight="false" outlineLevel="0" collapsed="false">
      <c r="B35" s="6" t="s">
        <v>960</v>
      </c>
      <c r="C35" s="63" t="s">
        <v>885</v>
      </c>
      <c r="D35" s="65" t="n">
        <f aca="false">SUMIFS($D$12:$F$12,$D$6:$F$6,C35)</f>
        <v>0.065</v>
      </c>
    </row>
    <row r="36" customFormat="false" ht="15" hidden="false" customHeight="false" outlineLevel="0" collapsed="false">
      <c r="B36" s="6" t="s">
        <v>961</v>
      </c>
      <c r="C36" s="63" t="s">
        <v>885</v>
      </c>
      <c r="D36" s="64" t="n">
        <f aca="false">SUMIFS($D$9:$F$9,$D$6:$F$6,C36)</f>
        <v>850</v>
      </c>
    </row>
    <row r="37" customFormat="false" ht="15" hidden="false" customHeight="false" outlineLevel="0" collapsed="false">
      <c r="B37" s="6" t="s">
        <v>962</v>
      </c>
      <c r="D37" s="61" t="n">
        <f aca="false">D34*D35</f>
        <v>2307.5</v>
      </c>
    </row>
    <row r="38" customFormat="false" ht="15" hidden="false" customHeight="false" outlineLevel="0" collapsed="false">
      <c r="B38" s="6" t="s">
        <v>963</v>
      </c>
      <c r="D38" s="61" t="n">
        <f aca="false">D34-$C$17</f>
        <v>18270.544472</v>
      </c>
    </row>
    <row r="39" customFormat="false" ht="15" hidden="false" customHeight="false" outlineLevel="0" collapsed="false">
      <c r="B39" s="6" t="s">
        <v>964</v>
      </c>
      <c r="D39" s="61" t="n">
        <f aca="false">D37-$C$18</f>
        <v>959.314951</v>
      </c>
    </row>
    <row r="40" customFormat="false" ht="15" hidden="false" customHeight="false" outlineLevel="0" collapsed="false">
      <c r="B40" s="3" t="s">
        <v>965</v>
      </c>
      <c r="D40" s="66" t="n">
        <f aca="false">D39/D38</f>
        <v>0.0525060953968926</v>
      </c>
    </row>
    <row r="41" customFormat="false" ht="15" hidden="false" customHeight="false" outlineLevel="0" collapsed="false">
      <c r="B41" s="6" t="s">
        <v>966</v>
      </c>
      <c r="D41" s="61" t="n">
        <f aca="false">D36-$C$19</f>
        <v>750</v>
      </c>
    </row>
    <row r="42" customFormat="false" ht="15" hidden="false" customHeight="false" outlineLevel="0" collapsed="false">
      <c r="B42" s="3" t="s">
        <v>967</v>
      </c>
      <c r="D42" s="66" t="n">
        <f aca="false">(D39+D41)/D38</f>
        <v>0.093555775177886</v>
      </c>
    </row>
    <row r="43" customFormat="false" ht="15" hidden="false" customHeight="false" outlineLevel="0" collapsed="false">
      <c r="B43" s="6" t="s">
        <v>968</v>
      </c>
      <c r="D43" s="67" t="n">
        <f aca="false">(D39+D41+$C$30)/D38</f>
        <v>0.115448937727749</v>
      </c>
    </row>
    <row r="44" customFormat="false" ht="15" hidden="false" customHeight="false" outlineLevel="0" collapsed="false">
      <c r="B44" s="6" t="s">
        <v>969</v>
      </c>
      <c r="D44" s="67" t="n">
        <f aca="false">(D39+D41+$C$31)/D38</f>
        <v>0.109975647090283</v>
      </c>
    </row>
    <row r="45" customFormat="false" ht="15" hidden="false" customHeight="false" outlineLevel="0" collapsed="false">
      <c r="B45" s="6" t="s">
        <v>970</v>
      </c>
      <c r="D45" s="67" t="n">
        <f aca="false">$C$22</f>
        <v>0.0840528620678999</v>
      </c>
    </row>
    <row r="47" customFormat="false" ht="15" hidden="false" customHeight="false" outlineLevel="0" collapsed="false">
      <c r="A47" s="35" t="s">
        <v>971</v>
      </c>
      <c r="B47" s="36"/>
      <c r="C47" s="36"/>
      <c r="D47" s="36"/>
      <c r="E47" s="36"/>
      <c r="F47" s="36"/>
      <c r="G47" s="36"/>
      <c r="H47" s="36"/>
      <c r="I47" s="36"/>
      <c r="J47" s="36"/>
      <c r="K47" s="36"/>
      <c r="L47" s="36"/>
      <c r="M47" s="36"/>
      <c r="N47" s="36"/>
      <c r="O47" s="36"/>
      <c r="P47" s="36"/>
    </row>
    <row r="48" customFormat="false" ht="23.85" hidden="false" customHeight="false" outlineLevel="0" collapsed="false">
      <c r="A48" s="13" t="s">
        <v>490</v>
      </c>
      <c r="B48" s="13" t="s">
        <v>972</v>
      </c>
      <c r="C48" s="13" t="s">
        <v>973</v>
      </c>
      <c r="D48" s="13" t="s">
        <v>974</v>
      </c>
      <c r="E48" s="13" t="s">
        <v>975</v>
      </c>
      <c r="F48" s="13" t="s">
        <v>976</v>
      </c>
      <c r="G48" s="13" t="s">
        <v>977</v>
      </c>
      <c r="H48" s="13" t="s">
        <v>978</v>
      </c>
      <c r="I48" s="13" t="s">
        <v>979</v>
      </c>
      <c r="J48" s="13" t="s">
        <v>980</v>
      </c>
      <c r="K48" s="13" t="s">
        <v>981</v>
      </c>
      <c r="L48" s="13" t="s">
        <v>982</v>
      </c>
      <c r="M48" s="13" t="s">
        <v>983</v>
      </c>
      <c r="N48" s="13" t="s">
        <v>984</v>
      </c>
      <c r="O48" s="13" t="s">
        <v>985</v>
      </c>
      <c r="P48" s="13" t="s">
        <v>986</v>
      </c>
    </row>
    <row r="49" customFormat="false" ht="15" hidden="false" customHeight="false" outlineLevel="0" collapsed="false">
      <c r="A49" s="6" t="s">
        <v>507</v>
      </c>
      <c r="B49" s="2" t="s">
        <v>987</v>
      </c>
      <c r="C49" s="6" t="s">
        <v>884</v>
      </c>
      <c r="D49" s="6" t="s">
        <v>884</v>
      </c>
      <c r="E49" s="6" t="s">
        <v>884</v>
      </c>
      <c r="F49" s="61" t="n">
        <f aca="false">SUMIFS($D$11:$F$11,$D$6:$F$6,C49)</f>
        <v>35000</v>
      </c>
      <c r="G49" s="67" t="n">
        <f aca="false">SUMIFS($D$12:$F$12,$D$6:$F$6,D49)</f>
        <v>0.055</v>
      </c>
      <c r="H49" s="61" t="n">
        <f aca="false">SUMIFS($D$9:$F$9,$D$6:$F$6,E49)</f>
        <v>800</v>
      </c>
      <c r="I49" s="61" t="n">
        <f aca="false">F49*G49</f>
        <v>1925</v>
      </c>
      <c r="J49" s="61" t="n">
        <f aca="false">F49-$C$17</f>
        <v>17770.544472</v>
      </c>
      <c r="K49" s="61" t="n">
        <f aca="false">I49-$C$18</f>
        <v>576.814951</v>
      </c>
      <c r="L49" s="67" t="n">
        <f aca="false">K49/J49</f>
        <v>0.0324590477184789</v>
      </c>
      <c r="M49" s="61" t="n">
        <f aca="false">H49-$C$19</f>
        <v>700</v>
      </c>
      <c r="N49" s="61" t="n">
        <f aca="false">K49+M49</f>
        <v>1276.814951</v>
      </c>
      <c r="O49" s="67" t="n">
        <f aca="false">N49/J49</f>
        <v>0.0718500748815998</v>
      </c>
      <c r="P49" s="67" t="n">
        <f aca="false">(N49+$C$30)/J49</f>
        <v>0.0943592332605261</v>
      </c>
    </row>
    <row r="50" customFormat="false" ht="15" hidden="false" customHeight="false" outlineLevel="0" collapsed="false">
      <c r="A50" s="6" t="s">
        <v>508</v>
      </c>
      <c r="B50" s="2" t="s">
        <v>987</v>
      </c>
      <c r="C50" s="6" t="s">
        <v>884</v>
      </c>
      <c r="D50" s="6" t="s">
        <v>884</v>
      </c>
      <c r="E50" s="6" t="s">
        <v>885</v>
      </c>
      <c r="F50" s="61" t="n">
        <f aca="false">SUMIFS($D$11:$F$11,$D$6:$F$6,C50)</f>
        <v>35000</v>
      </c>
      <c r="G50" s="67" t="n">
        <f aca="false">SUMIFS($D$12:$F$12,$D$6:$F$6,D50)</f>
        <v>0.055</v>
      </c>
      <c r="H50" s="61" t="n">
        <f aca="false">SUMIFS($D$9:$F$9,$D$6:$F$6,E50)</f>
        <v>850</v>
      </c>
      <c r="I50" s="61" t="n">
        <f aca="false">F50*G50</f>
        <v>1925</v>
      </c>
      <c r="J50" s="61" t="n">
        <f aca="false">F50-$C$17</f>
        <v>17770.544472</v>
      </c>
      <c r="K50" s="61" t="n">
        <f aca="false">I50-$C$18</f>
        <v>576.814951</v>
      </c>
      <c r="L50" s="67" t="n">
        <f aca="false">K50/J50</f>
        <v>0.0324590477184789</v>
      </c>
      <c r="M50" s="61" t="n">
        <f aca="false">H50-$C$19</f>
        <v>750</v>
      </c>
      <c r="N50" s="61" t="n">
        <f aca="false">K50+M50</f>
        <v>1326.814951</v>
      </c>
      <c r="O50" s="67" t="n">
        <f aca="false">N50/J50</f>
        <v>0.0746637196789656</v>
      </c>
      <c r="P50" s="67" t="n">
        <f aca="false">(N50+$C$30)/J50</f>
        <v>0.0971728780578918</v>
      </c>
    </row>
    <row r="51" customFormat="false" ht="15" hidden="false" customHeight="false" outlineLevel="0" collapsed="false">
      <c r="A51" s="6" t="s">
        <v>506</v>
      </c>
      <c r="B51" s="2" t="s">
        <v>987</v>
      </c>
      <c r="C51" s="6" t="s">
        <v>884</v>
      </c>
      <c r="D51" s="6" t="s">
        <v>884</v>
      </c>
      <c r="E51" s="6" t="s">
        <v>886</v>
      </c>
      <c r="F51" s="61" t="n">
        <f aca="false">SUMIFS($D$11:$F$11,$D$6:$F$6,C51)</f>
        <v>35000</v>
      </c>
      <c r="G51" s="67" t="n">
        <f aca="false">SUMIFS($D$12:$F$12,$D$6:$F$6,D51)</f>
        <v>0.055</v>
      </c>
      <c r="H51" s="61" t="n">
        <f aca="false">SUMIFS($D$9:$F$9,$D$6:$F$6,E51)</f>
        <v>900</v>
      </c>
      <c r="I51" s="61" t="n">
        <f aca="false">F51*G51</f>
        <v>1925</v>
      </c>
      <c r="J51" s="61" t="n">
        <f aca="false">F51-$C$17</f>
        <v>17770.544472</v>
      </c>
      <c r="K51" s="61" t="n">
        <f aca="false">I51-$C$18</f>
        <v>576.814951</v>
      </c>
      <c r="L51" s="67" t="n">
        <f aca="false">K51/J51</f>
        <v>0.0324590477184789</v>
      </c>
      <c r="M51" s="61" t="n">
        <f aca="false">H51-$C$19</f>
        <v>800</v>
      </c>
      <c r="N51" s="61" t="n">
        <f aca="false">K51+M51</f>
        <v>1376.814951</v>
      </c>
      <c r="O51" s="67" t="n">
        <f aca="false">N51/J51</f>
        <v>0.0774773644763314</v>
      </c>
      <c r="P51" s="67" t="n">
        <f aca="false">(N51+$C$30)/J51</f>
        <v>0.0999865228552576</v>
      </c>
    </row>
    <row r="52" customFormat="false" ht="15" hidden="false" customHeight="false" outlineLevel="0" collapsed="false">
      <c r="A52" s="6" t="s">
        <v>510</v>
      </c>
      <c r="B52" s="2" t="s">
        <v>987</v>
      </c>
      <c r="C52" s="6" t="s">
        <v>884</v>
      </c>
      <c r="D52" s="6" t="s">
        <v>885</v>
      </c>
      <c r="E52" s="6" t="s">
        <v>884</v>
      </c>
      <c r="F52" s="61" t="n">
        <f aca="false">SUMIFS($D$11:$F$11,$D$6:$F$6,C52)</f>
        <v>35000</v>
      </c>
      <c r="G52" s="67" t="n">
        <f aca="false">SUMIFS($D$12:$F$12,$D$6:$F$6,D52)</f>
        <v>0.065</v>
      </c>
      <c r="H52" s="61" t="n">
        <f aca="false">SUMIFS($D$9:$F$9,$D$6:$F$6,E52)</f>
        <v>800</v>
      </c>
      <c r="I52" s="61" t="n">
        <f aca="false">F52*G52</f>
        <v>2275</v>
      </c>
      <c r="J52" s="61" t="n">
        <f aca="false">F52-$C$17</f>
        <v>17770.544472</v>
      </c>
      <c r="K52" s="61" t="n">
        <f aca="false">I52-$C$18</f>
        <v>926.814951</v>
      </c>
      <c r="L52" s="67" t="n">
        <f aca="false">K52/J52</f>
        <v>0.0521545613000394</v>
      </c>
      <c r="M52" s="61" t="n">
        <f aca="false">H52-$C$19</f>
        <v>700</v>
      </c>
      <c r="N52" s="61" t="n">
        <f aca="false">K52+M52</f>
        <v>1626.814951</v>
      </c>
      <c r="O52" s="67" t="n">
        <f aca="false">N52/J52</f>
        <v>0.0915455884631603</v>
      </c>
      <c r="P52" s="67" t="n">
        <f aca="false">(N52+$C$30)/J52</f>
        <v>0.114054746842087</v>
      </c>
    </row>
    <row r="53" customFormat="false" ht="15" hidden="false" customHeight="false" outlineLevel="0" collapsed="false">
      <c r="A53" s="6" t="s">
        <v>511</v>
      </c>
      <c r="B53" s="2" t="s">
        <v>987</v>
      </c>
      <c r="C53" s="6" t="s">
        <v>884</v>
      </c>
      <c r="D53" s="6" t="s">
        <v>885</v>
      </c>
      <c r="E53" s="6" t="s">
        <v>885</v>
      </c>
      <c r="F53" s="61" t="n">
        <f aca="false">SUMIFS($D$11:$F$11,$D$6:$F$6,C53)</f>
        <v>35000</v>
      </c>
      <c r="G53" s="67" t="n">
        <f aca="false">SUMIFS($D$12:$F$12,$D$6:$F$6,D53)</f>
        <v>0.065</v>
      </c>
      <c r="H53" s="61" t="n">
        <f aca="false">SUMIFS($D$9:$F$9,$D$6:$F$6,E53)</f>
        <v>850</v>
      </c>
      <c r="I53" s="61" t="n">
        <f aca="false">F53*G53</f>
        <v>2275</v>
      </c>
      <c r="J53" s="61" t="n">
        <f aca="false">F53-$C$17</f>
        <v>17770.544472</v>
      </c>
      <c r="K53" s="61" t="n">
        <f aca="false">I53-$C$18</f>
        <v>926.814951</v>
      </c>
      <c r="L53" s="67" t="n">
        <f aca="false">K53/J53</f>
        <v>0.0521545613000394</v>
      </c>
      <c r="M53" s="61" t="n">
        <f aca="false">H53-$C$19</f>
        <v>750</v>
      </c>
      <c r="N53" s="61" t="n">
        <f aca="false">K53+M53</f>
        <v>1676.814951</v>
      </c>
      <c r="O53" s="67" t="n">
        <f aca="false">N53/J53</f>
        <v>0.0943592332605261</v>
      </c>
      <c r="P53" s="67" t="n">
        <f aca="false">(N53+$C$30)/J53</f>
        <v>0.116868391639452</v>
      </c>
    </row>
    <row r="54" customFormat="false" ht="15" hidden="false" customHeight="false" outlineLevel="0" collapsed="false">
      <c r="A54" s="6" t="s">
        <v>509</v>
      </c>
      <c r="B54" s="2" t="s">
        <v>987</v>
      </c>
      <c r="C54" s="6" t="s">
        <v>884</v>
      </c>
      <c r="D54" s="6" t="s">
        <v>885</v>
      </c>
      <c r="E54" s="6" t="s">
        <v>886</v>
      </c>
      <c r="F54" s="61" t="n">
        <f aca="false">SUMIFS($D$11:$F$11,$D$6:$F$6,C54)</f>
        <v>35000</v>
      </c>
      <c r="G54" s="67" t="n">
        <f aca="false">SUMIFS($D$12:$F$12,$D$6:$F$6,D54)</f>
        <v>0.065</v>
      </c>
      <c r="H54" s="61" t="n">
        <f aca="false">SUMIFS($D$9:$F$9,$D$6:$F$6,E54)</f>
        <v>900</v>
      </c>
      <c r="I54" s="61" t="n">
        <f aca="false">F54*G54</f>
        <v>2275</v>
      </c>
      <c r="J54" s="61" t="n">
        <f aca="false">F54-$C$17</f>
        <v>17770.544472</v>
      </c>
      <c r="K54" s="61" t="n">
        <f aca="false">I54-$C$18</f>
        <v>926.814951</v>
      </c>
      <c r="L54" s="67" t="n">
        <f aca="false">K54/J54</f>
        <v>0.0521545613000394</v>
      </c>
      <c r="M54" s="61" t="n">
        <f aca="false">H54-$C$19</f>
        <v>800</v>
      </c>
      <c r="N54" s="61" t="n">
        <f aca="false">K54+M54</f>
        <v>1726.814951</v>
      </c>
      <c r="O54" s="67" t="n">
        <f aca="false">N54/J54</f>
        <v>0.0971728780578918</v>
      </c>
      <c r="P54" s="67" t="n">
        <f aca="false">(N54+$C$30)/J54</f>
        <v>0.119682036436818</v>
      </c>
    </row>
    <row r="55" customFormat="false" ht="15" hidden="false" customHeight="false" outlineLevel="0" collapsed="false">
      <c r="A55" s="6" t="s">
        <v>504</v>
      </c>
      <c r="B55" s="2" t="s">
        <v>987</v>
      </c>
      <c r="C55" s="6" t="s">
        <v>884</v>
      </c>
      <c r="D55" s="6" t="s">
        <v>886</v>
      </c>
      <c r="E55" s="6" t="s">
        <v>884</v>
      </c>
      <c r="F55" s="61" t="n">
        <f aca="false">SUMIFS($D$11:$F$11,$D$6:$F$6,C55)</f>
        <v>35000</v>
      </c>
      <c r="G55" s="67" t="n">
        <f aca="false">SUMIFS($D$12:$F$12,$D$6:$F$6,D55)</f>
        <v>0.075</v>
      </c>
      <c r="H55" s="61" t="n">
        <f aca="false">SUMIFS($D$9:$F$9,$D$6:$F$6,E55)</f>
        <v>800</v>
      </c>
      <c r="I55" s="61" t="n">
        <f aca="false">F55*G55</f>
        <v>2625</v>
      </c>
      <c r="J55" s="61" t="n">
        <f aca="false">F55-$C$17</f>
        <v>17770.544472</v>
      </c>
      <c r="K55" s="61" t="n">
        <f aca="false">I55-$C$18</f>
        <v>1276.814951</v>
      </c>
      <c r="L55" s="67" t="n">
        <f aca="false">K55/J55</f>
        <v>0.0718500748815998</v>
      </c>
      <c r="M55" s="61" t="n">
        <f aca="false">H55-$C$19</f>
        <v>700</v>
      </c>
      <c r="N55" s="61" t="n">
        <f aca="false">K55+M55</f>
        <v>1976.814951</v>
      </c>
      <c r="O55" s="67" t="n">
        <f aca="false">N55/J55</f>
        <v>0.111241102044721</v>
      </c>
      <c r="P55" s="67" t="n">
        <f aca="false">(N55+$C$30)/J55</f>
        <v>0.133750260423647</v>
      </c>
    </row>
    <row r="56" customFormat="false" ht="15" hidden="false" customHeight="false" outlineLevel="0" collapsed="false">
      <c r="A56" s="6" t="s">
        <v>505</v>
      </c>
      <c r="B56" s="2" t="s">
        <v>987</v>
      </c>
      <c r="C56" s="6" t="s">
        <v>884</v>
      </c>
      <c r="D56" s="6" t="s">
        <v>886</v>
      </c>
      <c r="E56" s="6" t="s">
        <v>885</v>
      </c>
      <c r="F56" s="61" t="n">
        <f aca="false">SUMIFS($D$11:$F$11,$D$6:$F$6,C56)</f>
        <v>35000</v>
      </c>
      <c r="G56" s="67" t="n">
        <f aca="false">SUMIFS($D$12:$F$12,$D$6:$F$6,D56)</f>
        <v>0.075</v>
      </c>
      <c r="H56" s="61" t="n">
        <f aca="false">SUMIFS($D$9:$F$9,$D$6:$F$6,E56)</f>
        <v>850</v>
      </c>
      <c r="I56" s="61" t="n">
        <f aca="false">F56*G56</f>
        <v>2625</v>
      </c>
      <c r="J56" s="61" t="n">
        <f aca="false">F56-$C$17</f>
        <v>17770.544472</v>
      </c>
      <c r="K56" s="61" t="n">
        <f aca="false">I56-$C$18</f>
        <v>1276.814951</v>
      </c>
      <c r="L56" s="67" t="n">
        <f aca="false">K56/J56</f>
        <v>0.0718500748815998</v>
      </c>
      <c r="M56" s="61" t="n">
        <f aca="false">H56-$C$19</f>
        <v>750</v>
      </c>
      <c r="N56" s="61" t="n">
        <f aca="false">K56+M56</f>
        <v>2026.814951</v>
      </c>
      <c r="O56" s="67" t="n">
        <f aca="false">N56/J56</f>
        <v>0.114054746842087</v>
      </c>
      <c r="P56" s="67" t="n">
        <f aca="false">(N56+$C$30)/J56</f>
        <v>0.136563905221013</v>
      </c>
    </row>
    <row r="57" customFormat="false" ht="15" hidden="false" customHeight="false" outlineLevel="0" collapsed="false">
      <c r="A57" s="6" t="s">
        <v>503</v>
      </c>
      <c r="B57" s="2" t="s">
        <v>987</v>
      </c>
      <c r="C57" s="6" t="s">
        <v>884</v>
      </c>
      <c r="D57" s="6" t="s">
        <v>886</v>
      </c>
      <c r="E57" s="6" t="s">
        <v>886</v>
      </c>
      <c r="F57" s="61" t="n">
        <f aca="false">SUMIFS($D$11:$F$11,$D$6:$F$6,C57)</f>
        <v>35000</v>
      </c>
      <c r="G57" s="67" t="n">
        <f aca="false">SUMIFS($D$12:$F$12,$D$6:$F$6,D57)</f>
        <v>0.075</v>
      </c>
      <c r="H57" s="61" t="n">
        <f aca="false">SUMIFS($D$9:$F$9,$D$6:$F$6,E57)</f>
        <v>900</v>
      </c>
      <c r="I57" s="61" t="n">
        <f aca="false">F57*G57</f>
        <v>2625</v>
      </c>
      <c r="J57" s="61" t="n">
        <f aca="false">F57-$C$17</f>
        <v>17770.544472</v>
      </c>
      <c r="K57" s="61" t="n">
        <f aca="false">I57-$C$18</f>
        <v>1276.814951</v>
      </c>
      <c r="L57" s="67" t="n">
        <f aca="false">K57/J57</f>
        <v>0.0718500748815998</v>
      </c>
      <c r="M57" s="61" t="n">
        <f aca="false">H57-$C$19</f>
        <v>800</v>
      </c>
      <c r="N57" s="61" t="n">
        <f aca="false">K57+M57</f>
        <v>2076.814951</v>
      </c>
      <c r="O57" s="67" t="n">
        <f aca="false">N57/J57</f>
        <v>0.116868391639452</v>
      </c>
      <c r="P57" s="67" t="n">
        <f aca="false">(N57+$C$30)/J57</f>
        <v>0.139377550018379</v>
      </c>
    </row>
    <row r="58" customFormat="false" ht="15" hidden="false" customHeight="false" outlineLevel="0" collapsed="false">
      <c r="A58" s="6" t="s">
        <v>516</v>
      </c>
      <c r="B58" s="2" t="s">
        <v>987</v>
      </c>
      <c r="C58" s="6" t="s">
        <v>885</v>
      </c>
      <c r="D58" s="6" t="s">
        <v>884</v>
      </c>
      <c r="E58" s="6" t="s">
        <v>884</v>
      </c>
      <c r="F58" s="61" t="n">
        <f aca="false">SUMIFS($D$11:$F$11,$D$6:$F$6,C58)</f>
        <v>35500</v>
      </c>
      <c r="G58" s="67" t="n">
        <f aca="false">SUMIFS($D$12:$F$12,$D$6:$F$6,D58)</f>
        <v>0.055</v>
      </c>
      <c r="H58" s="61" t="n">
        <f aca="false">SUMIFS($D$9:$F$9,$D$6:$F$6,E58)</f>
        <v>800</v>
      </c>
      <c r="I58" s="61" t="n">
        <f aca="false">F58*G58</f>
        <v>1952.5</v>
      </c>
      <c r="J58" s="61" t="n">
        <f aca="false">F58-$C$17</f>
        <v>18270.544472</v>
      </c>
      <c r="K58" s="61" t="n">
        <f aca="false">I58-$C$18</f>
        <v>604.314951</v>
      </c>
      <c r="L58" s="67" t="n">
        <f aca="false">K58/J58</f>
        <v>0.033075913633889</v>
      </c>
      <c r="M58" s="61" t="n">
        <f aca="false">H58-$C$19</f>
        <v>700</v>
      </c>
      <c r="N58" s="61" t="n">
        <f aca="false">K58+M58</f>
        <v>1304.314951</v>
      </c>
      <c r="O58" s="67" t="n">
        <f aca="false">N58/J58</f>
        <v>0.0713889480961495</v>
      </c>
      <c r="P58" s="67" t="n">
        <f aca="false">(N58+$C$30)/J58</f>
        <v>0.0932821106460127</v>
      </c>
    </row>
    <row r="59" customFormat="false" ht="15" hidden="false" customHeight="false" outlineLevel="0" collapsed="false">
      <c r="A59" s="6" t="s">
        <v>517</v>
      </c>
      <c r="B59" s="2" t="s">
        <v>987</v>
      </c>
      <c r="C59" s="6" t="s">
        <v>885</v>
      </c>
      <c r="D59" s="6" t="s">
        <v>884</v>
      </c>
      <c r="E59" s="6" t="s">
        <v>885</v>
      </c>
      <c r="F59" s="61" t="n">
        <f aca="false">SUMIFS($D$11:$F$11,$D$6:$F$6,C59)</f>
        <v>35500</v>
      </c>
      <c r="G59" s="67" t="n">
        <f aca="false">SUMIFS($D$12:$F$12,$D$6:$F$6,D59)</f>
        <v>0.055</v>
      </c>
      <c r="H59" s="61" t="n">
        <f aca="false">SUMIFS($D$9:$F$9,$D$6:$F$6,E59)</f>
        <v>850</v>
      </c>
      <c r="I59" s="61" t="n">
        <f aca="false">F59*G59</f>
        <v>1952.5</v>
      </c>
      <c r="J59" s="61" t="n">
        <f aca="false">F59-$C$17</f>
        <v>18270.544472</v>
      </c>
      <c r="K59" s="61" t="n">
        <f aca="false">I59-$C$18</f>
        <v>604.314951</v>
      </c>
      <c r="L59" s="67" t="n">
        <f aca="false">K59/J59</f>
        <v>0.033075913633889</v>
      </c>
      <c r="M59" s="61" t="n">
        <f aca="false">H59-$C$19</f>
        <v>750</v>
      </c>
      <c r="N59" s="61" t="n">
        <f aca="false">K59+M59</f>
        <v>1354.314951</v>
      </c>
      <c r="O59" s="67" t="n">
        <f aca="false">N59/J59</f>
        <v>0.0741255934148824</v>
      </c>
      <c r="P59" s="67" t="n">
        <f aca="false">(N59+$C$30)/J59</f>
        <v>0.0960187559647456</v>
      </c>
    </row>
    <row r="60" customFormat="false" ht="15" hidden="false" customHeight="false" outlineLevel="0" collapsed="false">
      <c r="A60" s="6" t="s">
        <v>515</v>
      </c>
      <c r="B60" s="2" t="s">
        <v>987</v>
      </c>
      <c r="C60" s="6" t="s">
        <v>885</v>
      </c>
      <c r="D60" s="6" t="s">
        <v>884</v>
      </c>
      <c r="E60" s="6" t="s">
        <v>886</v>
      </c>
      <c r="F60" s="61" t="n">
        <f aca="false">SUMIFS($D$11:$F$11,$D$6:$F$6,C60)</f>
        <v>35500</v>
      </c>
      <c r="G60" s="67" t="n">
        <f aca="false">SUMIFS($D$12:$F$12,$D$6:$F$6,D60)</f>
        <v>0.055</v>
      </c>
      <c r="H60" s="61" t="n">
        <f aca="false">SUMIFS($D$9:$F$9,$D$6:$F$6,E60)</f>
        <v>900</v>
      </c>
      <c r="I60" s="61" t="n">
        <f aca="false">F60*G60</f>
        <v>1952.5</v>
      </c>
      <c r="J60" s="61" t="n">
        <f aca="false">F60-$C$17</f>
        <v>18270.544472</v>
      </c>
      <c r="K60" s="61" t="n">
        <f aca="false">I60-$C$18</f>
        <v>604.314951</v>
      </c>
      <c r="L60" s="67" t="n">
        <f aca="false">K60/J60</f>
        <v>0.033075913633889</v>
      </c>
      <c r="M60" s="61" t="n">
        <f aca="false">H60-$C$19</f>
        <v>800</v>
      </c>
      <c r="N60" s="61" t="n">
        <f aca="false">K60+M60</f>
        <v>1404.314951</v>
      </c>
      <c r="O60" s="67" t="n">
        <f aca="false">N60/J60</f>
        <v>0.0768622387336153</v>
      </c>
      <c r="P60" s="67" t="n">
        <f aca="false">(N60+$C$30)/J60</f>
        <v>0.0987554012834785</v>
      </c>
    </row>
    <row r="61" customFormat="false" ht="15" hidden="false" customHeight="false" outlineLevel="0" collapsed="false">
      <c r="A61" s="6" t="s">
        <v>519</v>
      </c>
      <c r="B61" s="2" t="s">
        <v>987</v>
      </c>
      <c r="C61" s="6" t="s">
        <v>885</v>
      </c>
      <c r="D61" s="6" t="s">
        <v>885</v>
      </c>
      <c r="E61" s="6" t="s">
        <v>884</v>
      </c>
      <c r="F61" s="61" t="n">
        <f aca="false">SUMIFS($D$11:$F$11,$D$6:$F$6,C61)</f>
        <v>35500</v>
      </c>
      <c r="G61" s="67" t="n">
        <f aca="false">SUMIFS($D$12:$F$12,$D$6:$F$6,D61)</f>
        <v>0.065</v>
      </c>
      <c r="H61" s="61" t="n">
        <f aca="false">SUMIFS($D$9:$F$9,$D$6:$F$6,E61)</f>
        <v>800</v>
      </c>
      <c r="I61" s="61" t="n">
        <f aca="false">F61*G61</f>
        <v>2307.5</v>
      </c>
      <c r="J61" s="61" t="n">
        <f aca="false">F61-$C$17</f>
        <v>18270.544472</v>
      </c>
      <c r="K61" s="61" t="n">
        <f aca="false">I61-$C$18</f>
        <v>959.314951</v>
      </c>
      <c r="L61" s="67" t="n">
        <f aca="false">K61/J61</f>
        <v>0.0525060953968926</v>
      </c>
      <c r="M61" s="61" t="n">
        <f aca="false">H61-$C$19</f>
        <v>700</v>
      </c>
      <c r="N61" s="61" t="n">
        <f aca="false">K61+M61</f>
        <v>1659.314951</v>
      </c>
      <c r="O61" s="67" t="n">
        <f aca="false">N61/J61</f>
        <v>0.0908191298591531</v>
      </c>
      <c r="P61" s="67" t="n">
        <f aca="false">(N61+$C$30)/J61</f>
        <v>0.112712292409016</v>
      </c>
    </row>
    <row r="62" customFormat="false" ht="15" hidden="false" customHeight="false" outlineLevel="0" collapsed="false">
      <c r="A62" s="6" t="s">
        <v>520</v>
      </c>
      <c r="B62" s="2" t="s">
        <v>987</v>
      </c>
      <c r="C62" s="6" t="s">
        <v>885</v>
      </c>
      <c r="D62" s="6" t="s">
        <v>885</v>
      </c>
      <c r="E62" s="6" t="s">
        <v>885</v>
      </c>
      <c r="F62" s="61" t="n">
        <f aca="false">SUMIFS($D$11:$F$11,$D$6:$F$6,C62)</f>
        <v>35500</v>
      </c>
      <c r="G62" s="67" t="n">
        <f aca="false">SUMIFS($D$12:$F$12,$D$6:$F$6,D62)</f>
        <v>0.065</v>
      </c>
      <c r="H62" s="61" t="n">
        <f aca="false">SUMIFS($D$9:$F$9,$D$6:$F$6,E62)</f>
        <v>850</v>
      </c>
      <c r="I62" s="61" t="n">
        <f aca="false">F62*G62</f>
        <v>2307.5</v>
      </c>
      <c r="J62" s="61" t="n">
        <f aca="false">F62-$C$17</f>
        <v>18270.544472</v>
      </c>
      <c r="K62" s="61" t="n">
        <f aca="false">I62-$C$18</f>
        <v>959.314951</v>
      </c>
      <c r="L62" s="67" t="n">
        <f aca="false">K62/J62</f>
        <v>0.0525060953968926</v>
      </c>
      <c r="M62" s="61" t="n">
        <f aca="false">H62-$C$19</f>
        <v>750</v>
      </c>
      <c r="N62" s="61" t="n">
        <f aca="false">K62+M62</f>
        <v>1709.314951</v>
      </c>
      <c r="O62" s="67" t="n">
        <f aca="false">N62/J62</f>
        <v>0.093555775177886</v>
      </c>
      <c r="P62" s="67" t="n">
        <f aca="false">(N62+$C$30)/J62</f>
        <v>0.115448937727749</v>
      </c>
    </row>
    <row r="63" customFormat="false" ht="15" hidden="false" customHeight="false" outlineLevel="0" collapsed="false">
      <c r="A63" s="6" t="s">
        <v>518</v>
      </c>
      <c r="B63" s="2" t="s">
        <v>987</v>
      </c>
      <c r="C63" s="6" t="s">
        <v>885</v>
      </c>
      <c r="D63" s="6" t="s">
        <v>885</v>
      </c>
      <c r="E63" s="6" t="s">
        <v>886</v>
      </c>
      <c r="F63" s="61" t="n">
        <f aca="false">SUMIFS($D$11:$F$11,$D$6:$F$6,C63)</f>
        <v>35500</v>
      </c>
      <c r="G63" s="67" t="n">
        <f aca="false">SUMIFS($D$12:$F$12,$D$6:$F$6,D63)</f>
        <v>0.065</v>
      </c>
      <c r="H63" s="61" t="n">
        <f aca="false">SUMIFS($D$9:$F$9,$D$6:$F$6,E63)</f>
        <v>900</v>
      </c>
      <c r="I63" s="61" t="n">
        <f aca="false">F63*G63</f>
        <v>2307.5</v>
      </c>
      <c r="J63" s="61" t="n">
        <f aca="false">F63-$C$17</f>
        <v>18270.544472</v>
      </c>
      <c r="K63" s="61" t="n">
        <f aca="false">I63-$C$18</f>
        <v>959.314951</v>
      </c>
      <c r="L63" s="67" t="n">
        <f aca="false">K63/J63</f>
        <v>0.0525060953968926</v>
      </c>
      <c r="M63" s="61" t="n">
        <f aca="false">H63-$C$19</f>
        <v>800</v>
      </c>
      <c r="N63" s="61" t="n">
        <f aca="false">K63+M63</f>
        <v>1759.314951</v>
      </c>
      <c r="O63" s="67" t="n">
        <f aca="false">N63/J63</f>
        <v>0.0962924204966189</v>
      </c>
      <c r="P63" s="67" t="n">
        <f aca="false">(N63+$C$30)/J63</f>
        <v>0.118185583046482</v>
      </c>
    </row>
    <row r="64" customFormat="false" ht="15" hidden="false" customHeight="false" outlineLevel="0" collapsed="false">
      <c r="A64" s="6" t="s">
        <v>513</v>
      </c>
      <c r="B64" s="2" t="s">
        <v>987</v>
      </c>
      <c r="C64" s="6" t="s">
        <v>885</v>
      </c>
      <c r="D64" s="6" t="s">
        <v>886</v>
      </c>
      <c r="E64" s="6" t="s">
        <v>884</v>
      </c>
      <c r="F64" s="61" t="n">
        <f aca="false">SUMIFS($D$11:$F$11,$D$6:$F$6,C64)</f>
        <v>35500</v>
      </c>
      <c r="G64" s="67" t="n">
        <f aca="false">SUMIFS($D$12:$F$12,$D$6:$F$6,D64)</f>
        <v>0.075</v>
      </c>
      <c r="H64" s="61" t="n">
        <f aca="false">SUMIFS($D$9:$F$9,$D$6:$F$6,E64)</f>
        <v>800</v>
      </c>
      <c r="I64" s="61" t="n">
        <f aca="false">F64*G64</f>
        <v>2662.5</v>
      </c>
      <c r="J64" s="61" t="n">
        <f aca="false">F64-$C$17</f>
        <v>18270.544472</v>
      </c>
      <c r="K64" s="61" t="n">
        <f aca="false">I64-$C$18</f>
        <v>1314.314951</v>
      </c>
      <c r="L64" s="67" t="n">
        <f aca="false">K64/J64</f>
        <v>0.0719362771598961</v>
      </c>
      <c r="M64" s="61" t="n">
        <f aca="false">H64-$C$19</f>
        <v>700</v>
      </c>
      <c r="N64" s="61" t="n">
        <f aca="false">K64+M64</f>
        <v>2014.314951</v>
      </c>
      <c r="O64" s="67" t="n">
        <f aca="false">N64/J64</f>
        <v>0.110249311622157</v>
      </c>
      <c r="P64" s="67" t="n">
        <f aca="false">(N64+$C$30)/J64</f>
        <v>0.13214247417202</v>
      </c>
    </row>
    <row r="65" customFormat="false" ht="15" hidden="false" customHeight="false" outlineLevel="0" collapsed="false">
      <c r="A65" s="6" t="s">
        <v>514</v>
      </c>
      <c r="B65" s="2" t="s">
        <v>987</v>
      </c>
      <c r="C65" s="6" t="s">
        <v>885</v>
      </c>
      <c r="D65" s="6" t="s">
        <v>886</v>
      </c>
      <c r="E65" s="6" t="s">
        <v>885</v>
      </c>
      <c r="F65" s="61" t="n">
        <f aca="false">SUMIFS($D$11:$F$11,$D$6:$F$6,C65)</f>
        <v>35500</v>
      </c>
      <c r="G65" s="67" t="n">
        <f aca="false">SUMIFS($D$12:$F$12,$D$6:$F$6,D65)</f>
        <v>0.075</v>
      </c>
      <c r="H65" s="61" t="n">
        <f aca="false">SUMIFS($D$9:$F$9,$D$6:$F$6,E65)</f>
        <v>850</v>
      </c>
      <c r="I65" s="61" t="n">
        <f aca="false">F65*G65</f>
        <v>2662.5</v>
      </c>
      <c r="J65" s="61" t="n">
        <f aca="false">F65-$C$17</f>
        <v>18270.544472</v>
      </c>
      <c r="K65" s="61" t="n">
        <f aca="false">I65-$C$18</f>
        <v>1314.314951</v>
      </c>
      <c r="L65" s="67" t="n">
        <f aca="false">K65/J65</f>
        <v>0.0719362771598961</v>
      </c>
      <c r="M65" s="61" t="n">
        <f aca="false">H65-$C$19</f>
        <v>750</v>
      </c>
      <c r="N65" s="61" t="n">
        <f aca="false">K65+M65</f>
        <v>2064.314951</v>
      </c>
      <c r="O65" s="67" t="n">
        <f aca="false">N65/J65</f>
        <v>0.11298595694089</v>
      </c>
      <c r="P65" s="67" t="n">
        <f aca="false">(N65+$C$30)/J65</f>
        <v>0.134879119490753</v>
      </c>
    </row>
    <row r="66" customFormat="false" ht="15" hidden="false" customHeight="false" outlineLevel="0" collapsed="false">
      <c r="A66" s="6" t="s">
        <v>512</v>
      </c>
      <c r="B66" s="2" t="s">
        <v>987</v>
      </c>
      <c r="C66" s="6" t="s">
        <v>885</v>
      </c>
      <c r="D66" s="6" t="s">
        <v>886</v>
      </c>
      <c r="E66" s="6" t="s">
        <v>886</v>
      </c>
      <c r="F66" s="61" t="n">
        <f aca="false">SUMIFS($D$11:$F$11,$D$6:$F$6,C66)</f>
        <v>35500</v>
      </c>
      <c r="G66" s="67" t="n">
        <f aca="false">SUMIFS($D$12:$F$12,$D$6:$F$6,D66)</f>
        <v>0.075</v>
      </c>
      <c r="H66" s="61" t="n">
        <f aca="false">SUMIFS($D$9:$F$9,$D$6:$F$6,E66)</f>
        <v>900</v>
      </c>
      <c r="I66" s="61" t="n">
        <f aca="false">F66*G66</f>
        <v>2662.5</v>
      </c>
      <c r="J66" s="61" t="n">
        <f aca="false">F66-$C$17</f>
        <v>18270.544472</v>
      </c>
      <c r="K66" s="61" t="n">
        <f aca="false">I66-$C$18</f>
        <v>1314.314951</v>
      </c>
      <c r="L66" s="67" t="n">
        <f aca="false">K66/J66</f>
        <v>0.0719362771598961</v>
      </c>
      <c r="M66" s="61" t="n">
        <f aca="false">H66-$C$19</f>
        <v>800</v>
      </c>
      <c r="N66" s="61" t="n">
        <f aca="false">K66+M66</f>
        <v>2114.314951</v>
      </c>
      <c r="O66" s="67" t="n">
        <f aca="false">N66/J66</f>
        <v>0.115722602259622</v>
      </c>
      <c r="P66" s="67" t="n">
        <f aca="false">(N66+$C$30)/J66</f>
        <v>0.137615764809486</v>
      </c>
    </row>
    <row r="67" customFormat="false" ht="15" hidden="false" customHeight="false" outlineLevel="0" collapsed="false">
      <c r="A67" s="6" t="s">
        <v>498</v>
      </c>
      <c r="B67" s="2" t="s">
        <v>987</v>
      </c>
      <c r="C67" s="6" t="s">
        <v>886</v>
      </c>
      <c r="D67" s="6" t="s">
        <v>884</v>
      </c>
      <c r="E67" s="6" t="s">
        <v>884</v>
      </c>
      <c r="F67" s="61" t="n">
        <f aca="false">SUMIFS($D$11:$F$11,$D$6:$F$6,C67)</f>
        <v>36000</v>
      </c>
      <c r="G67" s="67" t="n">
        <f aca="false">SUMIFS($D$12:$F$12,$D$6:$F$6,D67)</f>
        <v>0.055</v>
      </c>
      <c r="H67" s="61" t="n">
        <f aca="false">SUMIFS($D$9:$F$9,$D$6:$F$6,E67)</f>
        <v>800</v>
      </c>
      <c r="I67" s="61" t="n">
        <f aca="false">F67*G67</f>
        <v>1980</v>
      </c>
      <c r="J67" s="61" t="n">
        <f aca="false">F67-$C$17</f>
        <v>18770.544472</v>
      </c>
      <c r="K67" s="61" t="n">
        <f aca="false">I67-$C$18</f>
        <v>631.814951</v>
      </c>
      <c r="L67" s="67" t="n">
        <f aca="false">K67/J67</f>
        <v>0.0336599160425249</v>
      </c>
      <c r="M67" s="61" t="n">
        <f aca="false">H67-$C$19</f>
        <v>700</v>
      </c>
      <c r="N67" s="61" t="n">
        <f aca="false">K67+M67</f>
        <v>1331.814951</v>
      </c>
      <c r="O67" s="67" t="n">
        <f aca="false">N67/J67</f>
        <v>0.0709523878216035</v>
      </c>
      <c r="P67" s="67" t="n">
        <f aca="false">(N67+$C$30)/J67</f>
        <v>0.0922623716953627</v>
      </c>
    </row>
    <row r="68" customFormat="false" ht="15" hidden="false" customHeight="false" outlineLevel="0" collapsed="false">
      <c r="A68" s="6" t="s">
        <v>499</v>
      </c>
      <c r="B68" s="2" t="s">
        <v>987</v>
      </c>
      <c r="C68" s="6" t="s">
        <v>886</v>
      </c>
      <c r="D68" s="6" t="s">
        <v>884</v>
      </c>
      <c r="E68" s="6" t="s">
        <v>885</v>
      </c>
      <c r="F68" s="61" t="n">
        <f aca="false">SUMIFS($D$11:$F$11,$D$6:$F$6,C68)</f>
        <v>36000</v>
      </c>
      <c r="G68" s="67" t="n">
        <f aca="false">SUMIFS($D$12:$F$12,$D$6:$F$6,D68)</f>
        <v>0.055</v>
      </c>
      <c r="H68" s="61" t="n">
        <f aca="false">SUMIFS($D$9:$F$9,$D$6:$F$6,E68)</f>
        <v>850</v>
      </c>
      <c r="I68" s="61" t="n">
        <f aca="false">F68*G68</f>
        <v>1980</v>
      </c>
      <c r="J68" s="61" t="n">
        <f aca="false">F68-$C$17</f>
        <v>18770.544472</v>
      </c>
      <c r="K68" s="61" t="n">
        <f aca="false">I68-$C$18</f>
        <v>631.814951</v>
      </c>
      <c r="L68" s="67" t="n">
        <f aca="false">K68/J68</f>
        <v>0.0336599160425249</v>
      </c>
      <c r="M68" s="61" t="n">
        <f aca="false">H68-$C$19</f>
        <v>750</v>
      </c>
      <c r="N68" s="61" t="n">
        <f aca="false">K68+M68</f>
        <v>1381.814951</v>
      </c>
      <c r="O68" s="67" t="n">
        <f aca="false">N68/J68</f>
        <v>0.0736161358058234</v>
      </c>
      <c r="P68" s="67" t="n">
        <f aca="false">(N68+$C$30)/J68</f>
        <v>0.0949261196795826</v>
      </c>
    </row>
    <row r="69" customFormat="false" ht="15" hidden="false" customHeight="false" outlineLevel="0" collapsed="false">
      <c r="A69" s="6" t="s">
        <v>497</v>
      </c>
      <c r="B69" s="2" t="s">
        <v>987</v>
      </c>
      <c r="C69" s="6" t="s">
        <v>886</v>
      </c>
      <c r="D69" s="6" t="s">
        <v>884</v>
      </c>
      <c r="E69" s="6" t="s">
        <v>886</v>
      </c>
      <c r="F69" s="61" t="n">
        <f aca="false">SUMIFS($D$11:$F$11,$D$6:$F$6,C69)</f>
        <v>36000</v>
      </c>
      <c r="G69" s="67" t="n">
        <f aca="false">SUMIFS($D$12:$F$12,$D$6:$F$6,D69)</f>
        <v>0.055</v>
      </c>
      <c r="H69" s="61" t="n">
        <f aca="false">SUMIFS($D$9:$F$9,$D$6:$F$6,E69)</f>
        <v>900</v>
      </c>
      <c r="I69" s="61" t="n">
        <f aca="false">F69*G69</f>
        <v>1980</v>
      </c>
      <c r="J69" s="61" t="n">
        <f aca="false">F69-$C$17</f>
        <v>18770.544472</v>
      </c>
      <c r="K69" s="61" t="n">
        <f aca="false">I69-$C$18</f>
        <v>631.814951</v>
      </c>
      <c r="L69" s="67" t="n">
        <f aca="false">K69/J69</f>
        <v>0.0336599160425249</v>
      </c>
      <c r="M69" s="61" t="n">
        <f aca="false">H69-$C$19</f>
        <v>800</v>
      </c>
      <c r="N69" s="61" t="n">
        <f aca="false">K69+M69</f>
        <v>1431.814951</v>
      </c>
      <c r="O69" s="67" t="n">
        <f aca="false">N69/J69</f>
        <v>0.0762798837900433</v>
      </c>
      <c r="P69" s="67" t="n">
        <f aca="false">(N69+$C$30)/J69</f>
        <v>0.0975898676638025</v>
      </c>
    </row>
    <row r="70" customFormat="false" ht="15" hidden="false" customHeight="false" outlineLevel="0" collapsed="false">
      <c r="A70" s="6" t="s">
        <v>501</v>
      </c>
      <c r="B70" s="2" t="s">
        <v>987</v>
      </c>
      <c r="C70" s="6" t="s">
        <v>886</v>
      </c>
      <c r="D70" s="6" t="s">
        <v>885</v>
      </c>
      <c r="E70" s="6" t="s">
        <v>884</v>
      </c>
      <c r="F70" s="61" t="n">
        <f aca="false">SUMIFS($D$11:$F$11,$D$6:$F$6,C70)</f>
        <v>36000</v>
      </c>
      <c r="G70" s="67" t="n">
        <f aca="false">SUMIFS($D$12:$F$12,$D$6:$F$6,D70)</f>
        <v>0.065</v>
      </c>
      <c r="H70" s="61" t="n">
        <f aca="false">SUMIFS($D$9:$F$9,$D$6:$F$6,E70)</f>
        <v>800</v>
      </c>
      <c r="I70" s="61" t="n">
        <f aca="false">F70*G70</f>
        <v>2340</v>
      </c>
      <c r="J70" s="61" t="n">
        <f aca="false">F70-$C$17</f>
        <v>18770.544472</v>
      </c>
      <c r="K70" s="61" t="n">
        <f aca="false">I70-$C$18</f>
        <v>991.814951</v>
      </c>
      <c r="L70" s="67" t="n">
        <f aca="false">K70/J70</f>
        <v>0.0528389015289082</v>
      </c>
      <c r="M70" s="61" t="n">
        <f aca="false">H70-$C$19</f>
        <v>700</v>
      </c>
      <c r="N70" s="61" t="n">
        <f aca="false">K70+M70</f>
        <v>1691.814951</v>
      </c>
      <c r="O70" s="67" t="n">
        <f aca="false">N70/J70</f>
        <v>0.0901313733079868</v>
      </c>
      <c r="P70" s="67" t="n">
        <f aca="false">(N70+$C$30)/J70</f>
        <v>0.111441357181746</v>
      </c>
    </row>
    <row r="71" customFormat="false" ht="15" hidden="false" customHeight="false" outlineLevel="0" collapsed="false">
      <c r="A71" s="6" t="s">
        <v>502</v>
      </c>
      <c r="B71" s="2" t="s">
        <v>987</v>
      </c>
      <c r="C71" s="6" t="s">
        <v>886</v>
      </c>
      <c r="D71" s="6" t="s">
        <v>885</v>
      </c>
      <c r="E71" s="6" t="s">
        <v>885</v>
      </c>
      <c r="F71" s="61" t="n">
        <f aca="false">SUMIFS($D$11:$F$11,$D$6:$F$6,C71)</f>
        <v>36000</v>
      </c>
      <c r="G71" s="67" t="n">
        <f aca="false">SUMIFS($D$12:$F$12,$D$6:$F$6,D71)</f>
        <v>0.065</v>
      </c>
      <c r="H71" s="61" t="n">
        <f aca="false">SUMIFS($D$9:$F$9,$D$6:$F$6,E71)</f>
        <v>850</v>
      </c>
      <c r="I71" s="61" t="n">
        <f aca="false">F71*G71</f>
        <v>2340</v>
      </c>
      <c r="J71" s="61" t="n">
        <f aca="false">F71-$C$17</f>
        <v>18770.544472</v>
      </c>
      <c r="K71" s="61" t="n">
        <f aca="false">I71-$C$18</f>
        <v>991.814951</v>
      </c>
      <c r="L71" s="67" t="n">
        <f aca="false">K71/J71</f>
        <v>0.0528389015289082</v>
      </c>
      <c r="M71" s="61" t="n">
        <f aca="false">H71-$C$19</f>
        <v>750</v>
      </c>
      <c r="N71" s="61" t="n">
        <f aca="false">K71+M71</f>
        <v>1741.814951</v>
      </c>
      <c r="O71" s="67" t="n">
        <f aca="false">N71/J71</f>
        <v>0.0927951212922067</v>
      </c>
      <c r="P71" s="67" t="n">
        <f aca="false">(N71+$C$30)/J71</f>
        <v>0.114105105165966</v>
      </c>
    </row>
    <row r="72" customFormat="false" ht="15" hidden="false" customHeight="false" outlineLevel="0" collapsed="false">
      <c r="A72" s="6" t="s">
        <v>500</v>
      </c>
      <c r="B72" s="2" t="s">
        <v>987</v>
      </c>
      <c r="C72" s="6" t="s">
        <v>886</v>
      </c>
      <c r="D72" s="6" t="s">
        <v>885</v>
      </c>
      <c r="E72" s="6" t="s">
        <v>886</v>
      </c>
      <c r="F72" s="61" t="n">
        <f aca="false">SUMIFS($D$11:$F$11,$D$6:$F$6,C72)</f>
        <v>36000</v>
      </c>
      <c r="G72" s="67" t="n">
        <f aca="false">SUMIFS($D$12:$F$12,$D$6:$F$6,D72)</f>
        <v>0.065</v>
      </c>
      <c r="H72" s="61" t="n">
        <f aca="false">SUMIFS($D$9:$F$9,$D$6:$F$6,E72)</f>
        <v>900</v>
      </c>
      <c r="I72" s="61" t="n">
        <f aca="false">F72*G72</f>
        <v>2340</v>
      </c>
      <c r="J72" s="61" t="n">
        <f aca="false">F72-$C$17</f>
        <v>18770.544472</v>
      </c>
      <c r="K72" s="61" t="n">
        <f aca="false">I72-$C$18</f>
        <v>991.814951</v>
      </c>
      <c r="L72" s="67" t="n">
        <f aca="false">K72/J72</f>
        <v>0.0528389015289082</v>
      </c>
      <c r="M72" s="61" t="n">
        <f aca="false">H72-$C$19</f>
        <v>800</v>
      </c>
      <c r="N72" s="61" t="n">
        <f aca="false">K72+M72</f>
        <v>1791.814951</v>
      </c>
      <c r="O72" s="67" t="n">
        <f aca="false">N72/J72</f>
        <v>0.0954588692764266</v>
      </c>
      <c r="P72" s="67" t="n">
        <f aca="false">(N72+$C$30)/J72</f>
        <v>0.116768853150186</v>
      </c>
    </row>
    <row r="73" customFormat="false" ht="15" hidden="false" customHeight="false" outlineLevel="0" collapsed="false">
      <c r="A73" s="6" t="s">
        <v>495</v>
      </c>
      <c r="B73" s="2" t="s">
        <v>987</v>
      </c>
      <c r="C73" s="6" t="s">
        <v>886</v>
      </c>
      <c r="D73" s="6" t="s">
        <v>886</v>
      </c>
      <c r="E73" s="6" t="s">
        <v>884</v>
      </c>
      <c r="F73" s="61" t="n">
        <f aca="false">SUMIFS($D$11:$F$11,$D$6:$F$6,C73)</f>
        <v>36000</v>
      </c>
      <c r="G73" s="67" t="n">
        <f aca="false">SUMIFS($D$12:$F$12,$D$6:$F$6,D73)</f>
        <v>0.075</v>
      </c>
      <c r="H73" s="61" t="n">
        <f aca="false">SUMIFS($D$9:$F$9,$D$6:$F$6,E73)</f>
        <v>800</v>
      </c>
      <c r="I73" s="61" t="n">
        <f aca="false">F73*G73</f>
        <v>2700</v>
      </c>
      <c r="J73" s="61" t="n">
        <f aca="false">F73-$C$17</f>
        <v>18770.544472</v>
      </c>
      <c r="K73" s="61" t="n">
        <f aca="false">I73-$C$18</f>
        <v>1351.814951</v>
      </c>
      <c r="L73" s="67" t="n">
        <f aca="false">K73/J73</f>
        <v>0.0720178870152915</v>
      </c>
      <c r="M73" s="61" t="n">
        <f aca="false">H73-$C$19</f>
        <v>700</v>
      </c>
      <c r="N73" s="61" t="n">
        <f aca="false">K73+M73</f>
        <v>2051.814951</v>
      </c>
      <c r="O73" s="67" t="n">
        <f aca="false">N73/J73</f>
        <v>0.10931035879437</v>
      </c>
      <c r="P73" s="67" t="n">
        <f aca="false">(N73+$C$30)/J73</f>
        <v>0.130620342668129</v>
      </c>
    </row>
    <row r="74" customFormat="false" ht="15" hidden="false" customHeight="false" outlineLevel="0" collapsed="false">
      <c r="A74" s="6" t="s">
        <v>496</v>
      </c>
      <c r="B74" s="2" t="s">
        <v>987</v>
      </c>
      <c r="C74" s="6" t="s">
        <v>886</v>
      </c>
      <c r="D74" s="6" t="s">
        <v>886</v>
      </c>
      <c r="E74" s="6" t="s">
        <v>885</v>
      </c>
      <c r="F74" s="61" t="n">
        <f aca="false">SUMIFS($D$11:$F$11,$D$6:$F$6,C74)</f>
        <v>36000</v>
      </c>
      <c r="G74" s="67" t="n">
        <f aca="false">SUMIFS($D$12:$F$12,$D$6:$F$6,D74)</f>
        <v>0.075</v>
      </c>
      <c r="H74" s="61" t="n">
        <f aca="false">SUMIFS($D$9:$F$9,$D$6:$F$6,E74)</f>
        <v>850</v>
      </c>
      <c r="I74" s="61" t="n">
        <f aca="false">F74*G74</f>
        <v>2700</v>
      </c>
      <c r="J74" s="61" t="n">
        <f aca="false">F74-$C$17</f>
        <v>18770.544472</v>
      </c>
      <c r="K74" s="61" t="n">
        <f aca="false">I74-$C$18</f>
        <v>1351.814951</v>
      </c>
      <c r="L74" s="67" t="n">
        <f aca="false">K74/J74</f>
        <v>0.0720178870152915</v>
      </c>
      <c r="M74" s="61" t="n">
        <f aca="false">H74-$C$19</f>
        <v>750</v>
      </c>
      <c r="N74" s="61" t="n">
        <f aca="false">K74+M74</f>
        <v>2101.814951</v>
      </c>
      <c r="O74" s="67" t="n">
        <f aca="false">N74/J74</f>
        <v>0.11197410677859</v>
      </c>
      <c r="P74" s="67" t="n">
        <f aca="false">(N74+$C$30)/J74</f>
        <v>0.133284090652349</v>
      </c>
    </row>
    <row r="75" customFormat="false" ht="15" hidden="false" customHeight="false" outlineLevel="0" collapsed="false">
      <c r="A75" s="6" t="s">
        <v>494</v>
      </c>
      <c r="B75" s="2" t="s">
        <v>987</v>
      </c>
      <c r="C75" s="6" t="s">
        <v>886</v>
      </c>
      <c r="D75" s="6" t="s">
        <v>886</v>
      </c>
      <c r="E75" s="6" t="s">
        <v>886</v>
      </c>
      <c r="F75" s="61" t="n">
        <f aca="false">SUMIFS($D$11:$F$11,$D$6:$F$6,C75)</f>
        <v>36000</v>
      </c>
      <c r="G75" s="67" t="n">
        <f aca="false">SUMIFS($D$12:$F$12,$D$6:$F$6,D75)</f>
        <v>0.075</v>
      </c>
      <c r="H75" s="61" t="n">
        <f aca="false">SUMIFS($D$9:$F$9,$D$6:$F$6,E75)</f>
        <v>900</v>
      </c>
      <c r="I75" s="61" t="n">
        <f aca="false">F75*G75</f>
        <v>2700</v>
      </c>
      <c r="J75" s="61" t="n">
        <f aca="false">F75-$C$17</f>
        <v>18770.544472</v>
      </c>
      <c r="K75" s="61" t="n">
        <f aca="false">I75-$C$18</f>
        <v>1351.814951</v>
      </c>
      <c r="L75" s="67" t="n">
        <f aca="false">K75/J75</f>
        <v>0.0720178870152915</v>
      </c>
      <c r="M75" s="61" t="n">
        <f aca="false">H75-$C$19</f>
        <v>800</v>
      </c>
      <c r="N75" s="61" t="n">
        <f aca="false">K75+M75</f>
        <v>2151.814951</v>
      </c>
      <c r="O75" s="67" t="n">
        <f aca="false">N75/J75</f>
        <v>0.11463785476281</v>
      </c>
      <c r="P75" s="67" t="n">
        <f aca="false">(N75+$C$30)/J75</f>
        <v>0.135947838636569</v>
      </c>
    </row>
    <row r="77" customFormat="false" ht="15" hidden="false" customHeight="false" outlineLevel="0" collapsed="false">
      <c r="A77" s="35" t="s">
        <v>988</v>
      </c>
      <c r="B77" s="36"/>
      <c r="C77" s="36"/>
      <c r="D77" s="36"/>
      <c r="E77" s="36"/>
      <c r="F77" s="36"/>
      <c r="G77" s="36"/>
      <c r="H77" s="36"/>
      <c r="I77" s="36"/>
      <c r="J77" s="36"/>
      <c r="K77" s="36"/>
      <c r="L77" s="36"/>
      <c r="M77" s="36"/>
      <c r="N77" s="36"/>
      <c r="O77" s="36"/>
      <c r="P77" s="36"/>
    </row>
    <row r="78" customFormat="false" ht="23.85" hidden="false" customHeight="false" outlineLevel="0" collapsed="false">
      <c r="A78" s="13"/>
      <c r="B78" s="13" t="s">
        <v>989</v>
      </c>
      <c r="C78" s="13" t="s">
        <v>990</v>
      </c>
      <c r="D78" s="13" t="s">
        <v>991</v>
      </c>
      <c r="E78" s="13" t="s">
        <v>992</v>
      </c>
      <c r="F78" s="13" t="s">
        <v>993</v>
      </c>
      <c r="G78" s="13" t="s">
        <v>994</v>
      </c>
    </row>
    <row r="79" customFormat="false" ht="15" hidden="false" customHeight="false" outlineLevel="0" collapsed="false">
      <c r="B79" s="3" t="s">
        <v>995</v>
      </c>
      <c r="C79" s="67" t="n">
        <f aca="false">MIN(L49:L75)</f>
        <v>0.0324590477184789</v>
      </c>
      <c r="D79" s="67" t="n">
        <f aca="false">L62</f>
        <v>0.0525060953968926</v>
      </c>
      <c r="E79" s="67" t="n">
        <f aca="false">MAX(L49:L75)</f>
        <v>0.0720178870152915</v>
      </c>
      <c r="F79" s="67" t="n">
        <f aca="false">$C$21</f>
        <v>0.0782488481315636</v>
      </c>
      <c r="G79" s="67" t="n">
        <f aca="false">$C$24</f>
        <v>-0.0327644785831456</v>
      </c>
    </row>
    <row r="80" customFormat="false" ht="15" hidden="false" customHeight="false" outlineLevel="0" collapsed="false">
      <c r="B80" s="3" t="s">
        <v>996</v>
      </c>
      <c r="C80" s="67" t="n">
        <f aca="false">MIN(O49:O75)</f>
        <v>0.0709523878216035</v>
      </c>
      <c r="D80" s="67" t="n">
        <f aca="false">O62</f>
        <v>0.093555775177886</v>
      </c>
      <c r="E80" s="67" t="n">
        <f aca="false">MAX(O49:O75)</f>
        <v>0.116868391639452</v>
      </c>
      <c r="F80" s="67" t="n">
        <f aca="false">$C$22</f>
        <v>0.0840528620678999</v>
      </c>
      <c r="G80" s="67" t="n">
        <f aca="false">$C$25</f>
        <v>0.0997271434908945</v>
      </c>
    </row>
    <row r="81" customFormat="false" ht="15" hidden="false" customHeight="false" outlineLevel="0" collapsed="false">
      <c r="B81" s="6" t="s">
        <v>997</v>
      </c>
      <c r="C81" s="67" t="n">
        <f aca="false">MIN(P49:P75)</f>
        <v>0.0922623716953627</v>
      </c>
      <c r="D81" s="67" t="n">
        <f aca="false">P62</f>
        <v>0.115448937727749</v>
      </c>
      <c r="E81" s="67" t="n">
        <f aca="false">MAX(P49:P75)</f>
        <v>0.139377550018379</v>
      </c>
      <c r="F81" s="67" t="n">
        <f aca="false">$C$23</f>
        <v>0.107268917813245</v>
      </c>
      <c r="G81" s="62" t="n">
        <f aca="false">EBIT_Analysis!I22</f>
        <v>0.11628859625015</v>
      </c>
    </row>
    <row r="82" customFormat="false" ht="15" hidden="false" customHeight="false" outlineLevel="0" collapsed="false">
      <c r="B82" s="6" t="s">
        <v>998</v>
      </c>
      <c r="C82" s="61" t="n">
        <f aca="false">MIN(J49:J75)</f>
        <v>17770.544472</v>
      </c>
      <c r="D82" s="61" t="n">
        <f aca="false">J62</f>
        <v>18270.544472</v>
      </c>
      <c r="E82" s="61" t="n">
        <f aca="false">MAX(J49:J75)</f>
        <v>18770.544472</v>
      </c>
    </row>
    <row r="83" customFormat="false" ht="15" hidden="false" customHeight="false" outlineLevel="0" collapsed="false">
      <c r="B83" s="6" t="s">
        <v>999</v>
      </c>
      <c r="C83" s="61" t="n">
        <f aca="false">MIN(K49:K75)</f>
        <v>576.814951</v>
      </c>
      <c r="D83" s="61" t="n">
        <f aca="false">K62</f>
        <v>959.314951</v>
      </c>
      <c r="E83" s="61" t="n">
        <f aca="false">MAX(K49:K75)</f>
        <v>1351.814951</v>
      </c>
    </row>
    <row r="84" customFormat="false" ht="15" hidden="false" customHeight="false" outlineLevel="0" collapsed="false">
      <c r="B84" s="2" t="s">
        <v>1000</v>
      </c>
    </row>
    <row r="86" customFormat="false" ht="15" hidden="false" customHeight="false" outlineLevel="0" collapsed="false">
      <c r="A86" s="35" t="s">
        <v>1001</v>
      </c>
      <c r="B86" s="36"/>
      <c r="C86" s="36"/>
      <c r="D86" s="36"/>
      <c r="E86" s="36"/>
      <c r="F86" s="36"/>
      <c r="G86" s="36"/>
      <c r="H86" s="36"/>
      <c r="I86" s="36"/>
      <c r="J86" s="36"/>
      <c r="K86" s="36"/>
      <c r="L86" s="36"/>
      <c r="M86" s="36"/>
      <c r="N86" s="36"/>
      <c r="O86" s="36"/>
      <c r="P86" s="36"/>
    </row>
    <row r="87" customFormat="false" ht="23.85" hidden="false" customHeight="false" outlineLevel="0" collapsed="false">
      <c r="A87" s="13" t="s">
        <v>490</v>
      </c>
      <c r="B87" s="13" t="s">
        <v>972</v>
      </c>
      <c r="C87" s="13" t="s">
        <v>973</v>
      </c>
      <c r="D87" s="13" t="s">
        <v>1002</v>
      </c>
      <c r="E87" s="13"/>
      <c r="F87" s="13" t="s">
        <v>1003</v>
      </c>
      <c r="G87" s="13" t="s">
        <v>1004</v>
      </c>
      <c r="H87" s="13" t="s">
        <v>1005</v>
      </c>
      <c r="I87" s="13" t="s">
        <v>1006</v>
      </c>
      <c r="J87" s="13" t="s">
        <v>1007</v>
      </c>
      <c r="K87" s="13" t="s">
        <v>1008</v>
      </c>
      <c r="L87" s="13" t="s">
        <v>1009</v>
      </c>
      <c r="M87" s="13" t="s">
        <v>1010</v>
      </c>
      <c r="N87" s="13" t="s">
        <v>1011</v>
      </c>
      <c r="O87" s="13" t="s">
        <v>1012</v>
      </c>
    </row>
    <row r="88" customFormat="false" ht="15" hidden="false" customHeight="false" outlineLevel="0" collapsed="false">
      <c r="A88" s="6" t="s">
        <v>528</v>
      </c>
      <c r="B88" s="2" t="s">
        <v>987</v>
      </c>
      <c r="C88" s="6" t="s">
        <v>884</v>
      </c>
      <c r="D88" s="6" t="s">
        <v>884</v>
      </c>
      <c r="F88" s="61" t="n">
        <f aca="false">SUMIFS($D$11:$F$11,$D$6:$F$6,C88)</f>
        <v>35000</v>
      </c>
      <c r="G88" s="60" t="n">
        <f aca="false">$C$29</f>
        <v>0.87977243246987</v>
      </c>
      <c r="H88" s="61" t="n">
        <f aca="false">F88*G88</f>
        <v>30792.0351364454</v>
      </c>
      <c r="I88" s="61" t="n">
        <f aca="false">H88-$C$26</f>
        <v>15634.0351364454</v>
      </c>
      <c r="J88" s="67" t="n">
        <f aca="false">SUMIFS($D$8:$F$8,$D$6:$F$6,D88)</f>
        <v>0.15</v>
      </c>
      <c r="K88" s="67" t="n">
        <f aca="false">(J88*H88-$C$27)/I88</f>
        <v>0.118447045455972</v>
      </c>
      <c r="L88" s="67" t="n">
        <f aca="false">SUMIFS($D$10:$F$10,$D$6:$F$6,D88)</f>
        <v>0.03</v>
      </c>
      <c r="M88" s="67" t="n">
        <f aca="false">(L88*H88-$C$28)/I88</f>
        <v>-0.00617139197044005</v>
      </c>
      <c r="N88" s="67" t="n">
        <f aca="false">$C$27/$C$26</f>
        <v>0.182543871223117</v>
      </c>
      <c r="O88" s="67" t="n">
        <f aca="false">$C$28/$C$26</f>
        <v>0.067307350112152</v>
      </c>
    </row>
    <row r="89" customFormat="false" ht="15" hidden="false" customHeight="false" outlineLevel="0" collapsed="false">
      <c r="A89" s="6" t="s">
        <v>529</v>
      </c>
      <c r="B89" s="2" t="s">
        <v>987</v>
      </c>
      <c r="C89" s="6" t="s">
        <v>884</v>
      </c>
      <c r="D89" s="6" t="s">
        <v>885</v>
      </c>
      <c r="F89" s="61" t="n">
        <f aca="false">SUMIFS($D$11:$F$11,$D$6:$F$6,C89)</f>
        <v>35000</v>
      </c>
      <c r="G89" s="60" t="n">
        <f aca="false">$C$29</f>
        <v>0.87977243246987</v>
      </c>
      <c r="H89" s="61" t="n">
        <f aca="false">F89*G89</f>
        <v>30792.0351364454</v>
      </c>
      <c r="I89" s="61" t="n">
        <f aca="false">H89-$C$26</f>
        <v>15634.0351364454</v>
      </c>
      <c r="J89" s="67" t="n">
        <f aca="false">SUMIFS($D$8:$F$8,$D$6:$F$6,D89)</f>
        <v>0.16</v>
      </c>
      <c r="K89" s="67" t="n">
        <f aca="false">(J89*H89-$C$27)/I89</f>
        <v>0.138142559037532</v>
      </c>
      <c r="L89" s="67" t="n">
        <f aca="false">SUMIFS($D$10:$F$10,$D$6:$F$6,D89)</f>
        <v>0.04</v>
      </c>
      <c r="M89" s="67" t="n">
        <f aca="false">(L89*H89-$C$28)/I89</f>
        <v>0.0135241216111204</v>
      </c>
      <c r="N89" s="67" t="n">
        <f aca="false">$C$27/$C$26</f>
        <v>0.182543871223117</v>
      </c>
      <c r="O89" s="67" t="n">
        <f aca="false">$C$28/$C$26</f>
        <v>0.067307350112152</v>
      </c>
    </row>
    <row r="90" customFormat="false" ht="15" hidden="false" customHeight="false" outlineLevel="0" collapsed="false">
      <c r="A90" s="6" t="s">
        <v>527</v>
      </c>
      <c r="B90" s="2" t="s">
        <v>987</v>
      </c>
      <c r="C90" s="6" t="s">
        <v>884</v>
      </c>
      <c r="D90" s="6" t="s">
        <v>886</v>
      </c>
      <c r="F90" s="61" t="n">
        <f aca="false">SUMIFS($D$11:$F$11,$D$6:$F$6,C90)</f>
        <v>35000</v>
      </c>
      <c r="G90" s="60" t="n">
        <f aca="false">$C$29</f>
        <v>0.87977243246987</v>
      </c>
      <c r="H90" s="61" t="n">
        <f aca="false">F90*G90</f>
        <v>30792.0351364454</v>
      </c>
      <c r="I90" s="61" t="n">
        <f aca="false">H90-$C$26</f>
        <v>15634.0351364454</v>
      </c>
      <c r="J90" s="67" t="n">
        <f aca="false">SUMIFS($D$8:$F$8,$D$6:$F$6,D90)</f>
        <v>0.17</v>
      </c>
      <c r="K90" s="67" t="n">
        <f aca="false">(J90*H90-$C$27)/I90</f>
        <v>0.157838072619093</v>
      </c>
      <c r="L90" s="67" t="n">
        <f aca="false">SUMIFS($D$10:$F$10,$D$6:$F$6,D90)</f>
        <v>0.05</v>
      </c>
      <c r="M90" s="67" t="n">
        <f aca="false">(L90*H90-$C$28)/I90</f>
        <v>0.0332196351926809</v>
      </c>
      <c r="N90" s="67" t="n">
        <f aca="false">$C$27/$C$26</f>
        <v>0.182543871223117</v>
      </c>
      <c r="O90" s="67" t="n">
        <f aca="false">$C$28/$C$26</f>
        <v>0.067307350112152</v>
      </c>
    </row>
    <row r="91" customFormat="false" ht="15" hidden="false" customHeight="false" outlineLevel="0" collapsed="false">
      <c r="A91" s="6" t="s">
        <v>531</v>
      </c>
      <c r="B91" s="2" t="s">
        <v>987</v>
      </c>
      <c r="C91" s="6" t="s">
        <v>885</v>
      </c>
      <c r="D91" s="6" t="s">
        <v>884</v>
      </c>
      <c r="F91" s="61" t="n">
        <f aca="false">SUMIFS($D$11:$F$11,$D$6:$F$6,C91)</f>
        <v>35500</v>
      </c>
      <c r="G91" s="60" t="n">
        <f aca="false">$C$29</f>
        <v>0.87977243246987</v>
      </c>
      <c r="H91" s="61" t="n">
        <f aca="false">F91*G91</f>
        <v>31231.9213526804</v>
      </c>
      <c r="I91" s="61" t="n">
        <f aca="false">H91-$C$26</f>
        <v>16073.9213526804</v>
      </c>
      <c r="J91" s="67" t="n">
        <f aca="false">SUMIFS($D$8:$F$8,$D$6:$F$6,D91)</f>
        <v>0.15</v>
      </c>
      <c r="K91" s="67" t="n">
        <f aca="false">(J91*H91-$C$27)/I91</f>
        <v>0.119310537909423</v>
      </c>
      <c r="L91" s="67" t="n">
        <f aca="false">SUMIFS($D$10:$F$10,$D$6:$F$6,D91)</f>
        <v>0.03</v>
      </c>
      <c r="M91" s="67" t="n">
        <f aca="false">(L91*H91-$C$28)/I91</f>
        <v>-0.00518150926536048</v>
      </c>
      <c r="N91" s="67" t="n">
        <f aca="false">$C$27/$C$26</f>
        <v>0.182543871223117</v>
      </c>
      <c r="O91" s="67" t="n">
        <f aca="false">$C$28/$C$26</f>
        <v>0.067307350112152</v>
      </c>
    </row>
    <row r="92" customFormat="false" ht="15" hidden="false" customHeight="false" outlineLevel="0" collapsed="false">
      <c r="A92" s="6" t="s">
        <v>532</v>
      </c>
      <c r="B92" s="2" t="s">
        <v>987</v>
      </c>
      <c r="C92" s="6" t="s">
        <v>885</v>
      </c>
      <c r="D92" s="6" t="s">
        <v>885</v>
      </c>
      <c r="F92" s="61" t="n">
        <f aca="false">SUMIFS($D$11:$F$11,$D$6:$F$6,C92)</f>
        <v>35500</v>
      </c>
      <c r="G92" s="60" t="n">
        <f aca="false">$C$29</f>
        <v>0.87977243246987</v>
      </c>
      <c r="H92" s="61" t="n">
        <f aca="false">F92*G92</f>
        <v>31231.9213526804</v>
      </c>
      <c r="I92" s="61" t="n">
        <f aca="false">H92-$C$26</f>
        <v>16073.9213526804</v>
      </c>
      <c r="J92" s="67" t="n">
        <f aca="false">SUMIFS($D$8:$F$8,$D$6:$F$6,D92)</f>
        <v>0.16</v>
      </c>
      <c r="K92" s="67" t="n">
        <f aca="false">(J92*H92-$C$27)/I92</f>
        <v>0.138740719672427</v>
      </c>
      <c r="L92" s="67" t="n">
        <f aca="false">SUMIFS($D$10:$F$10,$D$6:$F$6,D92)</f>
        <v>0.04</v>
      </c>
      <c r="M92" s="67" t="n">
        <f aca="false">(L92*H92-$C$28)/I92</f>
        <v>0.0142486724976431</v>
      </c>
      <c r="N92" s="67" t="n">
        <f aca="false">$C$27/$C$26</f>
        <v>0.182543871223117</v>
      </c>
      <c r="O92" s="67" t="n">
        <f aca="false">$C$28/$C$26</f>
        <v>0.067307350112152</v>
      </c>
    </row>
    <row r="93" customFormat="false" ht="15" hidden="false" customHeight="false" outlineLevel="0" collapsed="false">
      <c r="A93" s="6" t="s">
        <v>530</v>
      </c>
      <c r="B93" s="2" t="s">
        <v>987</v>
      </c>
      <c r="C93" s="6" t="s">
        <v>885</v>
      </c>
      <c r="D93" s="6" t="s">
        <v>886</v>
      </c>
      <c r="F93" s="61" t="n">
        <f aca="false">SUMIFS($D$11:$F$11,$D$6:$F$6,C93)</f>
        <v>35500</v>
      </c>
      <c r="G93" s="60" t="n">
        <f aca="false">$C$29</f>
        <v>0.87977243246987</v>
      </c>
      <c r="H93" s="61" t="n">
        <f aca="false">F93*G93</f>
        <v>31231.9213526804</v>
      </c>
      <c r="I93" s="61" t="n">
        <f aca="false">H93-$C$26</f>
        <v>16073.9213526804</v>
      </c>
      <c r="J93" s="67" t="n">
        <f aca="false">SUMIFS($D$8:$F$8,$D$6:$F$6,D93)</f>
        <v>0.17</v>
      </c>
      <c r="K93" s="67" t="n">
        <f aca="false">(J93*H93-$C$27)/I93</f>
        <v>0.15817090143543</v>
      </c>
      <c r="L93" s="67" t="n">
        <f aca="false">SUMIFS($D$10:$F$10,$D$6:$F$6,D93)</f>
        <v>0.05</v>
      </c>
      <c r="M93" s="67" t="n">
        <f aca="false">(L93*H93-$C$28)/I93</f>
        <v>0.0336788542606467</v>
      </c>
      <c r="N93" s="67" t="n">
        <f aca="false">$C$27/$C$26</f>
        <v>0.182543871223117</v>
      </c>
      <c r="O93" s="67" t="n">
        <f aca="false">$C$28/$C$26</f>
        <v>0.067307350112152</v>
      </c>
    </row>
    <row r="94" customFormat="false" ht="15" hidden="false" customHeight="false" outlineLevel="0" collapsed="false">
      <c r="A94" s="6" t="s">
        <v>525</v>
      </c>
      <c r="B94" s="2" t="s">
        <v>987</v>
      </c>
      <c r="C94" s="6" t="s">
        <v>886</v>
      </c>
      <c r="D94" s="6" t="s">
        <v>884</v>
      </c>
      <c r="F94" s="61" t="n">
        <f aca="false">SUMIFS($D$11:$F$11,$D$6:$F$6,C94)</f>
        <v>36000</v>
      </c>
      <c r="G94" s="60" t="n">
        <f aca="false">$C$29</f>
        <v>0.87977243246987</v>
      </c>
      <c r="H94" s="61" t="n">
        <f aca="false">F94*G94</f>
        <v>31671.8075689153</v>
      </c>
      <c r="I94" s="61" t="n">
        <f aca="false">H94-$C$26</f>
        <v>16513.8075689153</v>
      </c>
      <c r="J94" s="67" t="n">
        <f aca="false">SUMIFS($D$8:$F$8,$D$6:$F$6,D94)</f>
        <v>0.15</v>
      </c>
      <c r="K94" s="67" t="n">
        <f aca="false">(J94*H94-$C$27)/I94</f>
        <v>0.120128027837229</v>
      </c>
      <c r="L94" s="67" t="n">
        <f aca="false">SUMIFS($D$10:$F$10,$D$6:$F$6,D94)</f>
        <v>0.03</v>
      </c>
      <c r="M94" s="67" t="n">
        <f aca="false">(L94*H94-$C$28)/I94</f>
        <v>-0.0042443625214863</v>
      </c>
      <c r="N94" s="67" t="n">
        <f aca="false">$C$27/$C$26</f>
        <v>0.182543871223117</v>
      </c>
      <c r="O94" s="67" t="n">
        <f aca="false">$C$28/$C$26</f>
        <v>0.067307350112152</v>
      </c>
    </row>
    <row r="95" customFormat="false" ht="15" hidden="false" customHeight="false" outlineLevel="0" collapsed="false">
      <c r="A95" s="6" t="s">
        <v>526</v>
      </c>
      <c r="B95" s="2" t="s">
        <v>987</v>
      </c>
      <c r="C95" s="6" t="s">
        <v>886</v>
      </c>
      <c r="D95" s="6" t="s">
        <v>885</v>
      </c>
      <c r="F95" s="61" t="n">
        <f aca="false">SUMIFS($D$11:$F$11,$D$6:$F$6,C95)</f>
        <v>36000</v>
      </c>
      <c r="G95" s="60" t="n">
        <f aca="false">$C$29</f>
        <v>0.87977243246987</v>
      </c>
      <c r="H95" s="61" t="n">
        <f aca="false">F95*G95</f>
        <v>31671.8075689153</v>
      </c>
      <c r="I95" s="61" t="n">
        <f aca="false">H95-$C$26</f>
        <v>16513.8075689153</v>
      </c>
      <c r="J95" s="67" t="n">
        <f aca="false">SUMIFS($D$8:$F$8,$D$6:$F$6,D95)</f>
        <v>0.16</v>
      </c>
      <c r="K95" s="67" t="n">
        <f aca="false">(J95*H95-$C$27)/I95</f>
        <v>0.139307013323612</v>
      </c>
      <c r="L95" s="67" t="n">
        <f aca="false">SUMIFS($D$10:$F$10,$D$6:$F$6,D95)</f>
        <v>0.04</v>
      </c>
      <c r="M95" s="67" t="n">
        <f aca="false">(L95*H95-$C$28)/I95</f>
        <v>0.014934622964897</v>
      </c>
      <c r="N95" s="67" t="n">
        <f aca="false">$C$27/$C$26</f>
        <v>0.182543871223117</v>
      </c>
      <c r="O95" s="67" t="n">
        <f aca="false">$C$28/$C$26</f>
        <v>0.067307350112152</v>
      </c>
    </row>
    <row r="96" customFormat="false" ht="15" hidden="false" customHeight="false" outlineLevel="0" collapsed="false">
      <c r="A96" s="6" t="s">
        <v>524</v>
      </c>
      <c r="B96" s="2" t="s">
        <v>987</v>
      </c>
      <c r="C96" s="6" t="s">
        <v>886</v>
      </c>
      <c r="D96" s="6" t="s">
        <v>886</v>
      </c>
      <c r="F96" s="61" t="n">
        <f aca="false">SUMIFS($D$11:$F$11,$D$6:$F$6,C96)</f>
        <v>36000</v>
      </c>
      <c r="G96" s="60" t="n">
        <f aca="false">$C$29</f>
        <v>0.87977243246987</v>
      </c>
      <c r="H96" s="61" t="n">
        <f aca="false">F96*G96</f>
        <v>31671.8075689153</v>
      </c>
      <c r="I96" s="61" t="n">
        <f aca="false">H96-$C$26</f>
        <v>16513.8075689153</v>
      </c>
      <c r="J96" s="67" t="n">
        <f aca="false">SUMIFS($D$8:$F$8,$D$6:$F$6,D96)</f>
        <v>0.17</v>
      </c>
      <c r="K96" s="67" t="n">
        <f aca="false">(J96*H96-$C$27)/I96</f>
        <v>0.158485998809995</v>
      </c>
      <c r="L96" s="67" t="n">
        <f aca="false">SUMIFS($D$10:$F$10,$D$6:$F$6,D96)</f>
        <v>0.05</v>
      </c>
      <c r="M96" s="67" t="n">
        <f aca="false">(L96*H96-$C$28)/I96</f>
        <v>0.0341136084512803</v>
      </c>
      <c r="N96" s="67" t="n">
        <f aca="false">$C$27/$C$26</f>
        <v>0.182543871223117</v>
      </c>
      <c r="O96" s="67" t="n">
        <f aca="false">$C$28/$C$26</f>
        <v>0.067307350112152</v>
      </c>
    </row>
  </sheetData>
  <dataValidations count="1">
    <dataValidation allowBlank="false" errorStyle="stop" operator="between" showDropDown="false" showErrorMessage="false" showInputMessage="false" sqref="C34:C36" type="list">
      <formula1>"low,mid,high"</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true"/>
  </sheetPr>
  <dimension ref="A1:I56"/>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70"/>
    <col collapsed="false" customWidth="true" hidden="false" outlineLevel="0" max="3" min="3" style="0" width="18"/>
    <col collapsed="false" customWidth="true" hidden="false" outlineLevel="0" max="6" min="4" style="0" width="14"/>
    <col collapsed="false" customWidth="true" hidden="false" outlineLevel="0" max="7" min="7" style="0" width="12"/>
    <col collapsed="false" customWidth="true" hidden="false" outlineLevel="0" max="8" min="8" style="0" width="10"/>
    <col collapsed="false" customWidth="true" hidden="false" outlineLevel="0" max="9" min="9" style="0" width="50"/>
  </cols>
  <sheetData>
    <row r="1" customFormat="false" ht="17.35" hidden="false" customHeight="false" outlineLevel="0" collapsed="false">
      <c r="A1" s="1" t="s">
        <v>1013</v>
      </c>
    </row>
    <row r="2" customFormat="false" ht="15" hidden="false" customHeight="false" outlineLevel="0" collapsed="false">
      <c r="A2" s="2" t="s">
        <v>1014</v>
      </c>
    </row>
    <row r="4" customFormat="false" ht="15" hidden="false" customHeight="false" outlineLevel="0" collapsed="false">
      <c r="B4" s="3" t="s">
        <v>1015</v>
      </c>
      <c r="C4" s="68" t="str">
        <f aca="false">IF(COUNTIF(Audit_Checks!$H$7:$H$56,"FAIL")=0,"ALL "&amp;COUNTA(Audit_Checks!$H$7:$H$56)&amp;" CHECKS PASS",COUNTIF(Audit_Checks!$H$7:$H$56,"FAIL")&amp;" OF "&amp;COUNTA(Audit_Checks!$H$7:$H$56)&amp;" CHECK(S) FAIL - see Audit_Checks")</f>
        <v>ALL 50 CHECKS PASS</v>
      </c>
      <c r="D4" s="68"/>
      <c r="E4" s="68"/>
      <c r="F4" s="68"/>
    </row>
    <row r="6" customFormat="false" ht="15" hidden="false" customHeight="false" outlineLevel="0" collapsed="false">
      <c r="A6" s="13" t="s">
        <v>571</v>
      </c>
      <c r="B6" s="13" t="s">
        <v>1016</v>
      </c>
      <c r="C6" s="13" t="s">
        <v>1017</v>
      </c>
      <c r="D6" s="13" t="s">
        <v>1018</v>
      </c>
      <c r="E6" s="13" t="s">
        <v>1019</v>
      </c>
      <c r="F6" s="13" t="s">
        <v>1020</v>
      </c>
      <c r="G6" s="13" t="s">
        <v>1021</v>
      </c>
      <c r="H6" s="13" t="s">
        <v>1022</v>
      </c>
      <c r="I6" s="13" t="s">
        <v>1023</v>
      </c>
    </row>
    <row r="7" customFormat="false" ht="15" hidden="false" customHeight="false" outlineLevel="0" collapsed="false">
      <c r="A7" s="69" t="s">
        <v>1024</v>
      </c>
      <c r="B7" s="69" t="s">
        <v>1025</v>
      </c>
      <c r="C7" s="69" t="s">
        <v>1026</v>
      </c>
      <c r="D7" s="70" t="n">
        <f aca="false">238</f>
        <v>238</v>
      </c>
      <c r="E7" s="70" t="n">
        <f aca="false">COUNTA(Data_Long!B6:B243)</f>
        <v>238</v>
      </c>
      <c r="F7" s="70" t="n">
        <f aca="false">E7-D7</f>
        <v>0</v>
      </c>
      <c r="G7" s="71" t="n">
        <v>0</v>
      </c>
      <c r="H7" s="72" t="str">
        <f aca="false">IF(ABS(F7)&lt;=G7,"PASS","FAIL")</f>
        <v>PASS</v>
      </c>
      <c r="I7" s="73" t="s">
        <v>1027</v>
      </c>
    </row>
    <row r="8" customFormat="false" ht="15" hidden="false" customHeight="false" outlineLevel="0" collapsed="false">
      <c r="A8" s="69" t="s">
        <v>1028</v>
      </c>
      <c r="B8" s="69" t="s">
        <v>1029</v>
      </c>
      <c r="C8" s="69" t="s">
        <v>1026</v>
      </c>
      <c r="D8" s="70" t="n">
        <f aca="false">COUNTA(Data_Long!B6:B243)-COUNTIF(Data_Long!B6:B243,"G09")-COUNTIF(Data_Long!B6:B243,"G10")</f>
        <v>230</v>
      </c>
      <c r="E8" s="70" t="n">
        <f aca="false">COUNT(Data_Panel!D6:J44)</f>
        <v>230</v>
      </c>
      <c r="F8" s="70" t="n">
        <f aca="false">E8-D8</f>
        <v>0</v>
      </c>
      <c r="G8" s="71" t="n">
        <v>0</v>
      </c>
      <c r="H8" s="72" t="str">
        <f aca="false">IF(ABS(F8)&lt;=G8,"PASS","FAIL")</f>
        <v>PASS</v>
      </c>
      <c r="I8" s="73" t="s">
        <v>1030</v>
      </c>
    </row>
    <row r="9" customFormat="false" ht="15" hidden="false" customHeight="false" outlineLevel="0" collapsed="false">
      <c r="A9" s="69" t="s">
        <v>1031</v>
      </c>
      <c r="B9" s="69" t="s">
        <v>1032</v>
      </c>
      <c r="C9" s="69" t="s">
        <v>1026</v>
      </c>
      <c r="D9" s="70" t="n">
        <f aca="false">27</f>
        <v>27</v>
      </c>
      <c r="E9" s="70" t="n">
        <f aca="false">COUNTA(Audit_Register!A6:A32)</f>
        <v>27</v>
      </c>
      <c r="F9" s="70" t="n">
        <f aca="false">E9-D9</f>
        <v>0</v>
      </c>
      <c r="G9" s="71" t="n">
        <v>0</v>
      </c>
      <c r="H9" s="72" t="str">
        <f aca="false">IF(ABS(F9)&lt;=G9,"PASS","FAIL")</f>
        <v>PASS</v>
      </c>
      <c r="I9" s="73" t="s">
        <v>1033</v>
      </c>
    </row>
    <row r="10" customFormat="false" ht="15" hidden="false" customHeight="false" outlineLevel="0" collapsed="false">
      <c r="A10" s="69" t="s">
        <v>1034</v>
      </c>
      <c r="B10" s="69" t="s">
        <v>1035</v>
      </c>
      <c r="C10" s="69" t="s">
        <v>1036</v>
      </c>
      <c r="D10" s="70" t="n">
        <f aca="false">0</f>
        <v>0</v>
      </c>
      <c r="E10" s="70" t="n">
        <f aca="false">ABS(N(EBIT_Analysis!D8)*1-N(SQL_Outputs!D6))+ABS(N(EBIT_Analysis!E8)*1-N(SQL_Outputs!E6))+ABS(N(EBIT_Analysis!F8)*1-N(SQL_Outputs!F6))+ABS(N(EBIT_Analysis!G8)*1-N(SQL_Outputs!G6))+ABS(N(EBIT_Analysis!H8)*1-N(SQL_Outputs!H6))+ABS(N(EBIT_Analysis!I8)*1-N(SQL_Outputs!I6))+ABS(N(EBIT_Analysis!J8)*1-N(SQL_Outputs!J6))</f>
        <v>0</v>
      </c>
      <c r="F10" s="70" t="n">
        <f aca="false">E10-D10</f>
        <v>0</v>
      </c>
      <c r="G10" s="71" t="n">
        <v>0.01</v>
      </c>
      <c r="H10" s="72" t="str">
        <f aca="false">IF(ABS(F10)&lt;=G10,"PASS","FAIL")</f>
        <v>PASS</v>
      </c>
      <c r="I10" s="73" t="s">
        <v>1037</v>
      </c>
    </row>
    <row r="11" customFormat="false" ht="15" hidden="false" customHeight="false" outlineLevel="0" collapsed="false">
      <c r="A11" s="69" t="s">
        <v>1038</v>
      </c>
      <c r="B11" s="69" t="s">
        <v>1039</v>
      </c>
      <c r="C11" s="69" t="s">
        <v>1036</v>
      </c>
      <c r="D11" s="70" t="n">
        <f aca="false">0</f>
        <v>0</v>
      </c>
      <c r="E11" s="70" t="n">
        <f aca="false">ABS(N(EBIT_Analysis!D19)*1-N(SQL_Outputs!D7))+ABS(N(EBIT_Analysis!E19)*1-N(SQL_Outputs!E7))+ABS(N(EBIT_Analysis!F19)*1-N(SQL_Outputs!F7))+ABS(N(EBIT_Analysis!G19)*1-N(SQL_Outputs!G7))+ABS(N(EBIT_Analysis!H19)*1-N(SQL_Outputs!H7))+ABS(N(EBIT_Analysis!I19)*1-N(SQL_Outputs!I7))+ABS(N(EBIT_Analysis!J19)*1-N(SQL_Outputs!J7))</f>
        <v>0</v>
      </c>
      <c r="F11" s="70" t="n">
        <f aca="false">E11-D11</f>
        <v>0</v>
      </c>
      <c r="G11" s="71" t="n">
        <v>0.01</v>
      </c>
      <c r="H11" s="72" t="str">
        <f aca="false">IF(ABS(F11)&lt;=G11,"PASS","FAIL")</f>
        <v>PASS</v>
      </c>
      <c r="I11" s="73" t="s">
        <v>1037</v>
      </c>
    </row>
    <row r="12" customFormat="false" ht="15" hidden="false" customHeight="false" outlineLevel="0" collapsed="false">
      <c r="A12" s="69" t="s">
        <v>1040</v>
      </c>
      <c r="B12" s="69" t="s">
        <v>1041</v>
      </c>
      <c r="C12" s="69" t="s">
        <v>1036</v>
      </c>
      <c r="D12" s="70" t="n">
        <f aca="false">0</f>
        <v>0</v>
      </c>
      <c r="E12" s="70" t="n">
        <f aca="false">ABS(N(EBIT_Analysis!D21)*1-N(SQL_Outputs!D8))+ABS(N(EBIT_Analysis!E21)*1-N(SQL_Outputs!E8))+ABS(N(EBIT_Analysis!F21)*1-N(SQL_Outputs!F8))+ABS(N(EBIT_Analysis!G21)*1-N(SQL_Outputs!G8))+ABS(N(EBIT_Analysis!H21)*1-N(SQL_Outputs!H8))+ABS(N(EBIT_Analysis!I21)*1-N(SQL_Outputs!I8))+ABS(N(EBIT_Analysis!J21)*1-N(SQL_Outputs!J8))</f>
        <v>0</v>
      </c>
      <c r="F12" s="70" t="n">
        <f aca="false">E12-D12</f>
        <v>0</v>
      </c>
      <c r="G12" s="71" t="n">
        <v>0.01</v>
      </c>
      <c r="H12" s="72" t="str">
        <f aca="false">IF(ABS(F12)&lt;=G12,"PASS","FAIL")</f>
        <v>PASS</v>
      </c>
      <c r="I12" s="73" t="s">
        <v>1037</v>
      </c>
    </row>
    <row r="13" customFormat="false" ht="15" hidden="false" customHeight="false" outlineLevel="0" collapsed="false">
      <c r="A13" s="69" t="s">
        <v>1042</v>
      </c>
      <c r="B13" s="69" t="s">
        <v>1043</v>
      </c>
      <c r="C13" s="69" t="s">
        <v>1036</v>
      </c>
      <c r="D13" s="70" t="n">
        <f aca="false">0</f>
        <v>0</v>
      </c>
      <c r="E13" s="70" t="n">
        <f aca="false">ABS(N(EBIT_Analysis!D35)*1-N(SQL_Outputs!D9))+ABS(N(EBIT_Analysis!E35)*1-N(SQL_Outputs!E9))+ABS(N(EBIT_Analysis!F35)*1-N(SQL_Outputs!F9))+ABS(N(EBIT_Analysis!G35)*1-N(SQL_Outputs!G9))+ABS(N(EBIT_Analysis!H35)*1-N(SQL_Outputs!H9))+ABS(N(EBIT_Analysis!I35)*1-N(SQL_Outputs!I9))+ABS(N(EBIT_Analysis!J35)*1-N(SQL_Outputs!J9))</f>
        <v>0</v>
      </c>
      <c r="F13" s="70" t="n">
        <f aca="false">E13-D13</f>
        <v>0</v>
      </c>
      <c r="G13" s="71" t="n">
        <v>0.01</v>
      </c>
      <c r="H13" s="72" t="str">
        <f aca="false">IF(ABS(F13)&lt;=G13,"PASS","FAIL")</f>
        <v>PASS</v>
      </c>
      <c r="I13" s="73" t="s">
        <v>1037</v>
      </c>
    </row>
    <row r="14" customFormat="false" ht="15" hidden="false" customHeight="false" outlineLevel="0" collapsed="false">
      <c r="A14" s="69" t="s">
        <v>1044</v>
      </c>
      <c r="B14" s="69" t="s">
        <v>1045</v>
      </c>
      <c r="C14" s="69" t="s">
        <v>1036</v>
      </c>
      <c r="D14" s="70" t="n">
        <f aca="false">0</f>
        <v>0</v>
      </c>
      <c r="E14" s="70" t="n">
        <f aca="false">ABS(N(EBIT_Analysis!D9)*100-N(SQL_Outputs!D10))+ABS(N(EBIT_Analysis!E9)*100-N(SQL_Outputs!E10))+ABS(N(EBIT_Analysis!F9)*100-N(SQL_Outputs!F10))+ABS(N(EBIT_Analysis!G9)*100-N(SQL_Outputs!G10))+ABS(N(EBIT_Analysis!H9)*100-N(SQL_Outputs!H10))+ABS(N(EBIT_Analysis!I9)*100-N(SQL_Outputs!I10))+ABS(N(EBIT_Analysis!J9)*100-N(SQL_Outputs!J10))</f>
        <v>0.0303865851592589</v>
      </c>
      <c r="F14" s="70" t="n">
        <f aca="false">E14-D14</f>
        <v>0.0303865851592589</v>
      </c>
      <c r="G14" s="71" t="n">
        <v>0.04</v>
      </c>
      <c r="H14" s="72" t="str">
        <f aca="false">IF(ABS(F14)&lt;=G14,"PASS","FAIL")</f>
        <v>PASS</v>
      </c>
      <c r="I14" s="73" t="s">
        <v>1037</v>
      </c>
    </row>
    <row r="15" customFormat="false" ht="15" hidden="false" customHeight="false" outlineLevel="0" collapsed="false">
      <c r="A15" s="69" t="s">
        <v>1046</v>
      </c>
      <c r="B15" s="69" t="s">
        <v>1047</v>
      </c>
      <c r="C15" s="69" t="s">
        <v>1036</v>
      </c>
      <c r="D15" s="70" t="n">
        <f aca="false">0</f>
        <v>0</v>
      </c>
      <c r="E15" s="70" t="n">
        <f aca="false">ABS(N(EBIT_Analysis!D20)*100-N(SQL_Outputs!D11))+ABS(N(EBIT_Analysis!E20)*100-N(SQL_Outputs!E11))+ABS(N(EBIT_Analysis!F20)*100-N(SQL_Outputs!F11))+ABS(N(EBIT_Analysis!G20)*100-N(SQL_Outputs!G11))+ABS(N(EBIT_Analysis!H20)*100-N(SQL_Outputs!H11))+ABS(N(EBIT_Analysis!I20)*100-N(SQL_Outputs!I11))+ABS(N(EBIT_Analysis!J20)*100-N(SQL_Outputs!J11))</f>
        <v>0.0245818204216732</v>
      </c>
      <c r="F15" s="70" t="n">
        <f aca="false">E15-D15</f>
        <v>0.0245818204216732</v>
      </c>
      <c r="G15" s="71" t="n">
        <v>0.04</v>
      </c>
      <c r="H15" s="72" t="str">
        <f aca="false">IF(ABS(F15)&lt;=G15,"PASS","FAIL")</f>
        <v>PASS</v>
      </c>
      <c r="I15" s="73" t="s">
        <v>1037</v>
      </c>
    </row>
    <row r="16" customFormat="false" ht="15" hidden="false" customHeight="false" outlineLevel="0" collapsed="false">
      <c r="A16" s="69" t="s">
        <v>1048</v>
      </c>
      <c r="B16" s="69" t="s">
        <v>1049</v>
      </c>
      <c r="C16" s="69" t="s">
        <v>1036</v>
      </c>
      <c r="D16" s="70" t="n">
        <f aca="false">0</f>
        <v>0</v>
      </c>
      <c r="E16" s="70" t="n">
        <f aca="false">ABS(N(EBIT_Analysis!D22)*100-N(SQL_Outputs!D12))+ABS(N(EBIT_Analysis!E22)*100-N(SQL_Outputs!E12))+ABS(N(EBIT_Analysis!F22)*100-N(SQL_Outputs!F12))+ABS(N(EBIT_Analysis!G22)*100-N(SQL_Outputs!G12))+ABS(N(EBIT_Analysis!H22)*100-N(SQL_Outputs!H12))+ABS(N(EBIT_Analysis!I22)*100-N(SQL_Outputs!I12))+ABS(N(EBIT_Analysis!J22)*100-N(SQL_Outputs!J12))</f>
        <v>0.0243760133854334</v>
      </c>
      <c r="F16" s="70" t="n">
        <f aca="false">E16-D16</f>
        <v>0.0243760133854334</v>
      </c>
      <c r="G16" s="71" t="n">
        <v>0.04</v>
      </c>
      <c r="H16" s="72" t="str">
        <f aca="false">IF(ABS(F16)&lt;=G16,"PASS","FAIL")</f>
        <v>PASS</v>
      </c>
      <c r="I16" s="73" t="s">
        <v>1037</v>
      </c>
    </row>
    <row r="17" customFormat="false" ht="15" hidden="false" customHeight="false" outlineLevel="0" collapsed="false">
      <c r="A17" s="69" t="s">
        <v>1050</v>
      </c>
      <c r="B17" s="69" t="s">
        <v>1051</v>
      </c>
      <c r="C17" s="69" t="s">
        <v>1036</v>
      </c>
      <c r="D17" s="70" t="n">
        <f aca="false">0</f>
        <v>0</v>
      </c>
      <c r="E17" s="70" t="n">
        <f aca="false">ABS(N(RD_DA!D34)*1-N(SQL_Outputs!D14))+ABS(N(RD_DA!E34)*1-N(SQL_Outputs!E14))+ABS(N(RD_DA!F34)*1-N(SQL_Outputs!F14))+ABS(N(RD_DA!G34)*1-N(SQL_Outputs!G14))+ABS(N(RD_DA!H34)*1-N(SQL_Outputs!H14))+ABS(N(RD_DA!I34)*1-N(SQL_Outputs!I14))+ABS(N(RD_DA!J34)*1-N(SQL_Outputs!J14))</f>
        <v>0</v>
      </c>
      <c r="F17" s="70" t="n">
        <f aca="false">E17-D17</f>
        <v>0</v>
      </c>
      <c r="G17" s="71" t="n">
        <v>0.01</v>
      </c>
      <c r="H17" s="72" t="str">
        <f aca="false">IF(ABS(F17)&lt;=G17,"PASS","FAIL")</f>
        <v>PASS</v>
      </c>
      <c r="I17" s="73" t="s">
        <v>1037</v>
      </c>
    </row>
    <row r="18" customFormat="false" ht="15" hidden="false" customHeight="false" outlineLevel="0" collapsed="false">
      <c r="A18" s="69" t="s">
        <v>1052</v>
      </c>
      <c r="B18" s="69" t="s">
        <v>1053</v>
      </c>
      <c r="C18" s="69" t="s">
        <v>1036</v>
      </c>
      <c r="D18" s="70" t="n">
        <f aca="false">0</f>
        <v>0</v>
      </c>
      <c r="E18" s="70" t="n">
        <f aca="false">ABS(N(RD_DA!D13)*1-N(SQL_Outputs!D15))+ABS(N(RD_DA!E13)*1-N(SQL_Outputs!E15))+ABS(N(RD_DA!F13)*1-N(SQL_Outputs!F15))+ABS(N(RD_DA!G13)*1-N(SQL_Outputs!G15))+ABS(N(RD_DA!H13)*1-N(SQL_Outputs!H15))+ABS(N(RD_DA!I13)*1-N(SQL_Outputs!I15))+ABS(N(RD_DA!J13)*1-N(SQL_Outputs!J15))</f>
        <v>0</v>
      </c>
      <c r="F18" s="70" t="n">
        <f aca="false">E18-D18</f>
        <v>0</v>
      </c>
      <c r="G18" s="71" t="n">
        <v>0.01</v>
      </c>
      <c r="H18" s="72" t="str">
        <f aca="false">IF(ABS(F18)&lt;=G18,"PASS","FAIL")</f>
        <v>PASS</v>
      </c>
      <c r="I18" s="73" t="s">
        <v>1037</v>
      </c>
    </row>
    <row r="19" customFormat="false" ht="15" hidden="false" customHeight="false" outlineLevel="0" collapsed="false">
      <c r="A19" s="69" t="s">
        <v>1054</v>
      </c>
      <c r="B19" s="69" t="s">
        <v>1055</v>
      </c>
      <c r="C19" s="69" t="s">
        <v>1036</v>
      </c>
      <c r="D19" s="70" t="n">
        <f aca="false">0</f>
        <v>0</v>
      </c>
      <c r="E19" s="70" t="n">
        <f aca="false">ABS(N(RD_DA!F21)*1-N(SQL_Outputs!F16))+ABS(N(RD_DA!G21)*1-N(SQL_Outputs!G16))+ABS(N(RD_DA!H21)*1-N(SQL_Outputs!H16))+ABS(N(RD_DA!I21)*1-N(SQL_Outputs!I16))+ABS(N(RD_DA!J21)*1-N(SQL_Outputs!J16))</f>
        <v>0.159247621871867</v>
      </c>
      <c r="F19" s="70" t="n">
        <f aca="false">E19-D19</f>
        <v>0.159247621871867</v>
      </c>
      <c r="G19" s="71" t="n">
        <v>0.3</v>
      </c>
      <c r="H19" s="72" t="str">
        <f aca="false">IF(ABS(F19)&lt;=G19,"PASS","FAIL")</f>
        <v>PASS</v>
      </c>
      <c r="I19" s="73" t="s">
        <v>1037</v>
      </c>
    </row>
    <row r="20" customFormat="false" ht="15" hidden="false" customHeight="false" outlineLevel="0" collapsed="false">
      <c r="A20" s="69" t="s">
        <v>1056</v>
      </c>
      <c r="B20" s="69" t="s">
        <v>1057</v>
      </c>
      <c r="C20" s="69" t="s">
        <v>1036</v>
      </c>
      <c r="D20" s="70" t="n">
        <f aca="false">0</f>
        <v>0</v>
      </c>
      <c r="E20" s="70" t="n">
        <f aca="false">ABS(N(Commercial!D11)*1-N(SQL_Outputs!D17))+ABS(N(Commercial!E11)*1-N(SQL_Outputs!E17))+ABS(N(Commercial!F11)*1-N(SQL_Outputs!F17))+ABS(N(Commercial!G11)*1-N(SQL_Outputs!G17))+ABS(N(Commercial!H11)*1-N(SQL_Outputs!H17))+ABS(N(Commercial!I11)*1-N(SQL_Outputs!I17))+ABS(N(Commercial!J11)*1-N(SQL_Outputs!J17))</f>
        <v>0.0193772502943546</v>
      </c>
      <c r="F20" s="70" t="n">
        <f aca="false">E20-D20</f>
        <v>0.0193772502943546</v>
      </c>
      <c r="G20" s="71" t="n">
        <v>0.04</v>
      </c>
      <c r="H20" s="72" t="str">
        <f aca="false">IF(ABS(F20)&lt;=G20,"PASS","FAIL")</f>
        <v>PASS</v>
      </c>
      <c r="I20" s="73" t="s">
        <v>1037</v>
      </c>
    </row>
    <row r="21" customFormat="false" ht="15" hidden="false" customHeight="false" outlineLevel="0" collapsed="false">
      <c r="A21" s="69" t="s">
        <v>1058</v>
      </c>
      <c r="B21" s="69" t="s">
        <v>1059</v>
      </c>
      <c r="C21" s="69" t="s">
        <v>1036</v>
      </c>
      <c r="D21" s="70" t="n">
        <f aca="false">0</f>
        <v>0</v>
      </c>
      <c r="E21" s="70" t="n">
        <f aca="false">ABS(N(Commercial!F20)*1-N(SQL_Outputs!F18))+ABS(N(Commercial!G20)*1-N(SQL_Outputs!G18))+ABS(N(Commercial!H20)*1-N(SQL_Outputs!H18))+ABS(N(Commercial!I20)*1-N(SQL_Outputs!I18))+ABS(N(Commercial!J20)*1-N(SQL_Outputs!J18))</f>
        <v>0.122337924684985</v>
      </c>
      <c r="F21" s="70" t="n">
        <f aca="false">E21-D21</f>
        <v>0.122337924684985</v>
      </c>
      <c r="G21" s="71" t="n">
        <v>0.3</v>
      </c>
      <c r="H21" s="72" t="str">
        <f aca="false">IF(ABS(F21)&lt;=G21,"PASS","FAIL")</f>
        <v>PASS</v>
      </c>
      <c r="I21" s="73" t="s">
        <v>1037</v>
      </c>
    </row>
    <row r="22" customFormat="false" ht="15" hidden="false" customHeight="false" outlineLevel="0" collapsed="false">
      <c r="A22" s="69" t="s">
        <v>1060</v>
      </c>
      <c r="B22" s="69" t="s">
        <v>1061</v>
      </c>
      <c r="C22" s="69" t="s">
        <v>1036</v>
      </c>
      <c r="D22" s="70" t="n">
        <f aca="false">0</f>
        <v>0</v>
      </c>
      <c r="E22" s="70" t="n">
        <f aca="false">ABS(N(Commercial!F21)*1-N(SQL_Outputs!F19))+ABS(N(Commercial!G21)*1-N(SQL_Outputs!G19))+ABS(N(Commercial!H21)*1-N(SQL_Outputs!H19))+ABS(N(Commercial!I21)*1-N(SQL_Outputs!I19))+ABS(N(Commercial!J21)*1-N(SQL_Outputs!J19))</f>
        <v>0.12233792468561</v>
      </c>
      <c r="F22" s="70" t="n">
        <f aca="false">E22-D22</f>
        <v>0.12233792468561</v>
      </c>
      <c r="G22" s="71" t="n">
        <v>0.3</v>
      </c>
      <c r="H22" s="72" t="str">
        <f aca="false">IF(ABS(F22)&lt;=G22,"PASS","FAIL")</f>
        <v>PASS</v>
      </c>
      <c r="I22" s="73" t="s">
        <v>1037</v>
      </c>
    </row>
    <row r="23" customFormat="false" ht="15" hidden="false" customHeight="false" outlineLevel="0" collapsed="false">
      <c r="A23" s="69" t="s">
        <v>1062</v>
      </c>
      <c r="B23" s="69" t="s">
        <v>1063</v>
      </c>
      <c r="C23" s="69" t="s">
        <v>1036</v>
      </c>
      <c r="D23" s="70" t="n">
        <f aca="false">0</f>
        <v>0</v>
      </c>
      <c r="E23" s="70" t="n">
        <f aca="false">ABS(N(Cash_Crosscheck!D16)*100-N(SQL_Outputs!D20))+ABS(N(Cash_Crosscheck!E16)*100-N(SQL_Outputs!E20))+ABS(N(Cash_Crosscheck!F16)*100-N(SQL_Outputs!F20))+ABS(N(Cash_Crosscheck!G16)*100-N(SQL_Outputs!G20))+ABS(N(Cash_Crosscheck!H16)*100-N(SQL_Outputs!H20))+ABS(N(Cash_Crosscheck!I16)*100-N(SQL_Outputs!I20))+ABS(N(Cash_Crosscheck!J16)*100-N(SQL_Outputs!J20))</f>
        <v>0.0188749501290926</v>
      </c>
      <c r="F23" s="70" t="n">
        <f aca="false">E23-D23</f>
        <v>0.0188749501290926</v>
      </c>
      <c r="G23" s="71" t="n">
        <v>0.04</v>
      </c>
      <c r="H23" s="72" t="str">
        <f aca="false">IF(ABS(F23)&lt;=G23,"PASS","FAIL")</f>
        <v>PASS</v>
      </c>
      <c r="I23" s="73" t="s">
        <v>1037</v>
      </c>
    </row>
    <row r="24" customFormat="false" ht="15" hidden="false" customHeight="false" outlineLevel="0" collapsed="false">
      <c r="A24" s="69" t="s">
        <v>1064</v>
      </c>
      <c r="B24" s="69" t="s">
        <v>1065</v>
      </c>
      <c r="C24" s="69" t="s">
        <v>1036</v>
      </c>
      <c r="D24" s="70" t="n">
        <f aca="false">0</f>
        <v>0</v>
      </c>
      <c r="E24" s="70" t="n">
        <f aca="false">ABS(N(Cash_Crosscheck!D29)*1-N(SQL_Outputs!D21))+ABS(N(Cash_Crosscheck!E29)*1-N(SQL_Outputs!E21))+ABS(N(Cash_Crosscheck!F29)*1-N(SQL_Outputs!F21))+ABS(N(Cash_Crosscheck!G29)*1-N(SQL_Outputs!G21))+ABS(N(Cash_Crosscheck!H29)*1-N(SQL_Outputs!H21))+ABS(N(Cash_Crosscheck!I29)*1-N(SQL_Outputs!I21))+ABS(N(Cash_Crosscheck!J29)*1-N(SQL_Outputs!J21))</f>
        <v>0</v>
      </c>
      <c r="F24" s="70" t="n">
        <f aca="false">E24-D24</f>
        <v>0</v>
      </c>
      <c r="G24" s="71" t="n">
        <v>0.01</v>
      </c>
      <c r="H24" s="72" t="str">
        <f aca="false">IF(ABS(F24)&lt;=G24,"PASS","FAIL")</f>
        <v>PASS</v>
      </c>
      <c r="I24" s="73" t="s">
        <v>1037</v>
      </c>
    </row>
    <row r="25" customFormat="false" ht="15" hidden="false" customHeight="false" outlineLevel="0" collapsed="false">
      <c r="A25" s="69" t="s">
        <v>1066</v>
      </c>
      <c r="B25" s="69" t="s">
        <v>1067</v>
      </c>
      <c r="C25" s="69" t="s">
        <v>1036</v>
      </c>
      <c r="D25" s="70" t="n">
        <f aca="false">0</f>
        <v>0</v>
      </c>
      <c r="E25" s="70" t="n">
        <f aca="false">ABS(N(EBIT_Analysis!F46)*1-N(SQL_Outputs!F22))+ABS(N(EBIT_Analysis!G46)*1-N(SQL_Outputs!G22))+ABS(N(EBIT_Analysis!H46)*1-N(SQL_Outputs!H22))+ABS(N(EBIT_Analysis!I46)*1-N(SQL_Outputs!I22))+ABS(N(EBIT_Analysis!J46)*1-N(SQL_Outputs!J22))</f>
        <v>0</v>
      </c>
      <c r="F25" s="70" t="n">
        <f aca="false">E25-D25</f>
        <v>0</v>
      </c>
      <c r="G25" s="71" t="n">
        <v>0.01</v>
      </c>
      <c r="H25" s="72" t="str">
        <f aca="false">IF(ABS(F25)&lt;=G25,"PASS","FAIL")</f>
        <v>PASS</v>
      </c>
      <c r="I25" s="73" t="s">
        <v>1037</v>
      </c>
    </row>
    <row r="26" customFormat="false" ht="15" hidden="false" customHeight="false" outlineLevel="0" collapsed="false">
      <c r="A26" s="69" t="s">
        <v>1068</v>
      </c>
      <c r="B26" s="69" t="s">
        <v>1069</v>
      </c>
      <c r="C26" s="69" t="s">
        <v>1036</v>
      </c>
      <c r="D26" s="70" t="n">
        <f aca="false">0</f>
        <v>0</v>
      </c>
      <c r="E26" s="70" t="n">
        <f aca="false">ABS(N(EBIT_Analysis!F56)*1-N(SQL_Outputs!F23))+ABS(N(EBIT_Analysis!G56)*1-N(SQL_Outputs!G23))+ABS(N(EBIT_Analysis!H56)*1-N(SQL_Outputs!H23))+ABS(N(EBIT_Analysis!I56)*1-N(SQL_Outputs!I23))+ABS(N(EBIT_Analysis!J56)*1-N(SQL_Outputs!J23))</f>
        <v>0.00111483425599412</v>
      </c>
      <c r="F26" s="70" t="n">
        <f aca="false">E26-D26</f>
        <v>0.00111483425599412</v>
      </c>
      <c r="G26" s="71" t="n">
        <v>0.005</v>
      </c>
      <c r="H26" s="72" t="str">
        <f aca="false">IF(ABS(F26)&lt;=G26,"PASS","FAIL")</f>
        <v>PASS</v>
      </c>
      <c r="I26" s="73" t="s">
        <v>1037</v>
      </c>
    </row>
    <row r="27" customFormat="false" ht="15" hidden="false" customHeight="false" outlineLevel="0" collapsed="false">
      <c r="A27" s="69" t="s">
        <v>1070</v>
      </c>
      <c r="B27" s="69" t="s">
        <v>1071</v>
      </c>
      <c r="C27" s="69" t="s">
        <v>1036</v>
      </c>
      <c r="D27" s="70" t="n">
        <f aca="false">0</f>
        <v>0</v>
      </c>
      <c r="E27" s="70" t="n">
        <f aca="false">ABS(N(Guidance_Scenarios!C79)*100-N(SQL_Outputs!D31))+ABS(N(Guidance_Scenarios!D79)*100-N(SQL_Outputs!D33))+ABS(N(Guidance_Scenarios!E79)*100-N(SQL_Outputs!D32))+ABS(N(Guidance_Scenarios!C80)*100-N(SQL_Outputs!D34))+ABS(N(Guidance_Scenarios!D80)*100-N(SQL_Outputs!D36))+ABS(N(Guidance_Scenarios!E80)*100-N(SQL_Outputs!D35))+ABS(N(Guidance_Scenarios!C81)*100-N(SQL_Outputs!D37))+ABS(N(Guidance_Scenarios!D81)*100-N(SQL_Outputs!D39))+ABS(N(Guidance_Scenarios!E81)*100-N(SQL_Outputs!D38))</f>
        <v>0.0297396068771212</v>
      </c>
      <c r="F27" s="70" t="n">
        <f aca="false">E27-D27</f>
        <v>0.0297396068771212</v>
      </c>
      <c r="G27" s="71" t="n">
        <v>0.05</v>
      </c>
      <c r="H27" s="72" t="str">
        <f aca="false">IF(ABS(F27)&lt;=G27,"PASS","FAIL")</f>
        <v>PASS</v>
      </c>
      <c r="I27" s="73" t="s">
        <v>1072</v>
      </c>
    </row>
    <row r="28" customFormat="false" ht="15" hidden="false" customHeight="false" outlineLevel="0" collapsed="false">
      <c r="A28" s="69" t="s">
        <v>1073</v>
      </c>
      <c r="B28" s="69" t="s">
        <v>1074</v>
      </c>
      <c r="C28" s="69" t="s">
        <v>1036</v>
      </c>
      <c r="D28" s="70" t="n">
        <f aca="false">0</f>
        <v>0</v>
      </c>
      <c r="E28" s="70" t="n">
        <f aca="false">ABS(N(Guidance_Scenarios!L49)*100-N(SQL_Outputs!D60))+ABS(N(Guidance_Scenarios!O49)*100-N(SQL_Outputs!E60))+ABS(N(Guidance_Scenarios!P49)*100-N(SQL_Outputs!F60))+ABS(N(Guidance_Scenarios!L50)*100-N(SQL_Outputs!D61))+ABS(N(Guidance_Scenarios!O50)*100-N(SQL_Outputs!E61))+ABS(N(Guidance_Scenarios!P50)*100-N(SQL_Outputs!F61))+ABS(N(Guidance_Scenarios!L51)*100-N(SQL_Outputs!D59))+ABS(N(Guidance_Scenarios!O51)*100-N(SQL_Outputs!E59))+ABS(N(Guidance_Scenarios!P51)*100-N(SQL_Outputs!F59))+ABS(N(Guidance_Scenarios!L52)*100-N(SQL_Outputs!D63))+ABS(N(Guidance_Scenarios!O52)*100-N(SQL_Outputs!E63))+ABS(N(Guidance_Scenarios!P52)*100-N(SQL_Outputs!F63))+ABS(N(Guidance_Scenarios!L53)*100-N(SQL_Outputs!D64))+ABS(N(Guidance_Scenarios!O53)*100-N(SQL_Outputs!E64))+ABS(N(Guidance_Scenarios!P53)*100-N(SQL_Outputs!F64))+ABS(N(Guidance_Scenarios!L54)*100-N(SQL_Outputs!D62))+ABS(N(Guidance_Scenarios!O54)*100-N(SQL_Outputs!E62))+ABS(N(Guidance_Scenarios!P54)*100-N(SQL_Outputs!F62))+ABS(N(Guidance_Scenarios!L55)*100-N(SQL_Outputs!D57))+ABS(N(Guidance_Scenarios!O55)*100-N(SQL_Outputs!E57))+ABS(N(Guidance_Scenarios!P55)*100-N(SQL_Outputs!F57))+ABS(N(Guidance_Scenarios!L56)*100-N(SQL_Outputs!D58))+ABS(N(Guidance_Scenarios!O56)*100-N(SQL_Outputs!E58))+ABS(N(Guidance_Scenarios!P56)*100-N(SQL_Outputs!F58))+ABS(N(Guidance_Scenarios!L57)*100-N(SQL_Outputs!D56))+ABS(N(Guidance_Scenarios!O57)*100-N(SQL_Outputs!E56))+ABS(N(Guidance_Scenarios!P57)*100-N(SQL_Outputs!F56))+ABS(N(Guidance_Scenarios!L58)*100-N(SQL_Outputs!D69))+ABS(N(Guidance_Scenarios!O58)*100-N(SQL_Outputs!E69))+ABS(N(Guidance_Scenarios!P58)*100-N(SQL_Outputs!F69))+ABS(N(Guidance_Scenarios!L59)*100-N(SQL_Outputs!D70))+ABS(N(Guidance_Scenarios!O59)*100-N(SQL_Outputs!E70))+ABS(N(Guidance_Scenarios!P59)*100-N(SQL_Outputs!F70))+ABS(N(Guidance_Scenarios!L60)*100-N(SQL_Outputs!D68))+ABS(N(Guidance_Scenarios!O60)*100-N(SQL_Outputs!E68))+ABS(N(Guidance_Scenarios!P60)*100-N(SQL_Outputs!F68))+ABS(N(Guidance_Scenarios!L61)*100-N(SQL_Outputs!D72))+ABS(N(Guidance_Scenarios!O61)*100-N(SQL_Outputs!E72))+ABS(N(Guidance_Scenarios!P61)*100-N(SQL_Outputs!F72))+ABS(N(Guidance_Scenarios!L62)*100-N(SQL_Outputs!D73))+ABS(N(Guidance_Scenarios!O62)*100-N(SQL_Outputs!E73))+ABS(N(Guidance_Scenarios!P62)*100-N(SQL_Outputs!F73))+ABS(N(Guidance_Scenarios!L63)*100-N(SQL_Outputs!D71))+ABS(N(Guidance_Scenarios!O63)*100-N(SQL_Outputs!E71))+ABS(N(Guidance_Scenarios!P63)*100-N(SQL_Outputs!F71))+ABS(N(Guidance_Scenarios!L64)*100-N(SQL_Outputs!D66))+ABS(N(Guidance_Scenarios!O64)*100-N(SQL_Outputs!E66))+ABS(N(Guidance_Scenarios!P64)*100-N(SQL_Outputs!F66))+ABS(N(Guidance_Scenarios!L65)*100-N(SQL_Outputs!D67))+ABS(N(Guidance_Scenarios!O65)*100-N(SQL_Outputs!E67))+ABS(N(Guidance_Scenarios!P65)*100-N(SQL_Outputs!F67))+ABS(N(Guidance_Scenarios!L66)*100-N(SQL_Outputs!D65))+ABS(N(Guidance_Scenarios!O66)*100-N(SQL_Outputs!E65))+ABS(N(Guidance_Scenarios!P66)*100-N(SQL_Outputs!F65))+ABS(N(Guidance_Scenarios!L67)*100-N(SQL_Outputs!D51))+ABS(N(Guidance_Scenarios!O67)*100-N(SQL_Outputs!E51))+ABS(N(Guidance_Scenarios!P67)*100-N(SQL_Outputs!F51))+ABS(N(Guidance_Scenarios!L68)*100-N(SQL_Outputs!D52))+ABS(N(Guidance_Scenarios!O68)*100-N(SQL_Outputs!E52))+ABS(N(Guidance_Scenarios!P68)*100-N(SQL_Outputs!F52))+ABS(N(Guidance_Scenarios!L69)*100-N(SQL_Outputs!D50))+ABS(N(Guidance_Scenarios!O69)*100-N(SQL_Outputs!E50))+ABS(N(Guidance_Scenarios!P69)*100-N(SQL_Outputs!F50))+ABS(N(Guidance_Scenarios!L70)*100-N(SQL_Outputs!D54))+ABS(N(Guidance_Scenarios!O70)*100-N(SQL_Outputs!E54))+ABS(N(Guidance_Scenarios!P70)*100-N(SQL_Outputs!F54))+ABS(N(Guidance_Scenarios!L71)*100-N(SQL_Outputs!D55))+ABS(N(Guidance_Scenarios!O71)*100-N(SQL_Outputs!E55))+ABS(N(Guidance_Scenarios!P71)*100-N(SQL_Outputs!F55))+ABS(N(Guidance_Scenarios!L72)*100-N(SQL_Outputs!D53))+ABS(N(Guidance_Scenarios!O72)*100-N(SQL_Outputs!E53))+ABS(N(Guidance_Scenarios!P72)*100-N(SQL_Outputs!F53))+ABS(N(Guidance_Scenarios!L73)*100-N(SQL_Outputs!D48))+ABS(N(Guidance_Scenarios!O73)*100-N(SQL_Outputs!E48))+ABS(N(Guidance_Scenarios!P73)*100-N(SQL_Outputs!F48))+ABS(N(Guidance_Scenarios!L74)*100-N(SQL_Outputs!D49))+ABS(N(Guidance_Scenarios!O74)*100-N(SQL_Outputs!E49))+ABS(N(Guidance_Scenarios!P74)*100-N(SQL_Outputs!F49))+ABS(N(Guidance_Scenarios!L75)*100-N(SQL_Outputs!D47))+ABS(N(Guidance_Scenarios!O75)*100-N(SQL_Outputs!E47))+ABS(N(Guidance_Scenarios!P75)*100-N(SQL_Outputs!F47))</f>
        <v>0.246194169868436</v>
      </c>
      <c r="F28" s="70" t="n">
        <f aca="false">E28-D28</f>
        <v>0.246194169868436</v>
      </c>
      <c r="G28" s="71" t="n">
        <v>0.41</v>
      </c>
      <c r="H28" s="72" t="str">
        <f aca="false">IF(ABS(F28)&lt;=G28,"PASS","FAIL")</f>
        <v>PASS</v>
      </c>
      <c r="I28" s="73" t="s">
        <v>1075</v>
      </c>
    </row>
    <row r="29" customFormat="false" ht="15" hidden="false" customHeight="false" outlineLevel="0" collapsed="false">
      <c r="A29" s="69" t="s">
        <v>1076</v>
      </c>
      <c r="B29" s="69" t="s">
        <v>1077</v>
      </c>
      <c r="C29" s="69" t="s">
        <v>1036</v>
      </c>
      <c r="D29" s="70" t="n">
        <f aca="false">0</f>
        <v>0</v>
      </c>
      <c r="E29" s="70" t="n">
        <f aca="false">ABS(N(Guidance_Scenarios!K88)*100-N(SQL_Outputs!D81))+ABS(N(Guidance_Scenarios!M88)*100-N(SQL_Outputs!E81))+ABS(N(Guidance_Scenarios!K89)*100-N(SQL_Outputs!D82))+ABS(N(Guidance_Scenarios!M89)*100-N(SQL_Outputs!E82))+ABS(N(Guidance_Scenarios!K90)*100-N(SQL_Outputs!D80))+ABS(N(Guidance_Scenarios!M90)*100-N(SQL_Outputs!E80))+ABS(N(Guidance_Scenarios!K91)*100-N(SQL_Outputs!D84))+ABS(N(Guidance_Scenarios!M91)*100-N(SQL_Outputs!E84))+ABS(N(Guidance_Scenarios!K92)*100-N(SQL_Outputs!D85))+ABS(N(Guidance_Scenarios!M92)*100-N(SQL_Outputs!E85))+ABS(N(Guidance_Scenarios!K93)*100-N(SQL_Outputs!D83))+ABS(N(Guidance_Scenarios!M93)*100-N(SQL_Outputs!E83))+ABS(N(Guidance_Scenarios!K94)*100-N(SQL_Outputs!D78))+ABS(N(Guidance_Scenarios!M94)*100-N(SQL_Outputs!E78))+ABS(N(Guidance_Scenarios!K95)*100-N(SQL_Outputs!D79))+ABS(N(Guidance_Scenarios!M95)*100-N(SQL_Outputs!E79))+ABS(N(Guidance_Scenarios!K96)*100-N(SQL_Outputs!D77))+ABS(N(Guidance_Scenarios!M96)*100-N(SQL_Outputs!E77))</f>
        <v>0.0510343352522843</v>
      </c>
      <c r="F29" s="70" t="n">
        <f aca="false">E29-D29</f>
        <v>0.0510343352522843</v>
      </c>
      <c r="G29" s="71" t="n">
        <v>0.1</v>
      </c>
      <c r="H29" s="72" t="str">
        <f aca="false">IF(ABS(F29)&lt;=G29,"PASS","FAIL")</f>
        <v>PASS</v>
      </c>
      <c r="I29" s="73" t="s">
        <v>1078</v>
      </c>
    </row>
    <row r="30" customFormat="false" ht="15" hidden="false" customHeight="false" outlineLevel="0" collapsed="false">
      <c r="A30" s="69" t="s">
        <v>1079</v>
      </c>
      <c r="B30" s="69" t="s">
        <v>1080</v>
      </c>
      <c r="C30" s="69" t="s">
        <v>1081</v>
      </c>
      <c r="D30" s="70" t="n">
        <f aca="false">0</f>
        <v>0</v>
      </c>
      <c r="E30" s="70" t="n">
        <f aca="false">ABS(N(RD_DA!D25))+ABS(N(RD_DA!E25))+ABS(N(RD_DA!F25))+ABS(N(RD_DA!G25))+ABS(N(RD_DA!H25))+ABS(N(RD_DA!I25))+ABS(N(RD_DA!J25))</f>
        <v>6</v>
      </c>
      <c r="F30" s="70" t="n">
        <f aca="false">E30-D30</f>
        <v>6</v>
      </c>
      <c r="G30" s="71" t="n">
        <v>7</v>
      </c>
      <c r="H30" s="72" t="str">
        <f aca="false">IF(ABS(F30)&lt;=G30,"PASS","FAIL")</f>
        <v>PASS</v>
      </c>
      <c r="I30" s="73" t="s">
        <v>1082</v>
      </c>
    </row>
    <row r="31" customFormat="false" ht="15" hidden="false" customHeight="false" outlineLevel="0" collapsed="false">
      <c r="A31" s="69" t="s">
        <v>1083</v>
      </c>
      <c r="B31" s="69" t="s">
        <v>1084</v>
      </c>
      <c r="C31" s="69" t="s">
        <v>1081</v>
      </c>
      <c r="D31" s="70" t="n">
        <f aca="false">0</f>
        <v>0</v>
      </c>
      <c r="E31" s="70" t="n">
        <f aca="false">ABS(N(RD_DA!D40))+ABS(N(RD_DA!E40))+ABS(N(RD_DA!F40))+ABS(N(RD_DA!G40))+ABS(N(RD_DA!H40))+ABS(N(RD_DA!I40))+ABS(N(RD_DA!J40))</f>
        <v>2</v>
      </c>
      <c r="F31" s="70" t="n">
        <f aca="false">E31-D31</f>
        <v>2</v>
      </c>
      <c r="G31" s="71" t="n">
        <v>7</v>
      </c>
      <c r="H31" s="72" t="str">
        <f aca="false">IF(ABS(F31)&lt;=G31,"PASS","FAIL")</f>
        <v>PASS</v>
      </c>
      <c r="I31" s="73" t="s">
        <v>1085</v>
      </c>
    </row>
    <row r="32" customFormat="false" ht="15" hidden="false" customHeight="false" outlineLevel="0" collapsed="false">
      <c r="A32" s="69" t="s">
        <v>1086</v>
      </c>
      <c r="B32" s="69" t="s">
        <v>1087</v>
      </c>
      <c r="C32" s="69" t="s">
        <v>1081</v>
      </c>
      <c r="D32" s="70" t="n">
        <f aca="false">0</f>
        <v>0</v>
      </c>
      <c r="E32" s="70" t="n">
        <f aca="false">ABS(N(Cash_Crosscheck!D9)-N(Cash_Crosscheck!D8)-N(RD_DA!D28))+ABS(N(Cash_Crosscheck!E9)-N(Cash_Crosscheck!E8)-N(RD_DA!E28))+ABS(N(Cash_Crosscheck!F9)-N(Cash_Crosscheck!F8)-N(RD_DA!F28))+ABS(N(Cash_Crosscheck!G9)-N(Cash_Crosscheck!G8)-N(RD_DA!G28))+ABS(N(Cash_Crosscheck!H9)-N(Cash_Crosscheck!H8)-N(RD_DA!H28))+ABS(N(Cash_Crosscheck!I9)-N(Cash_Crosscheck!I8)-N(RD_DA!I28))+ABS(N(Cash_Crosscheck!J9)-N(Cash_Crosscheck!J8)-N(RD_DA!J28))</f>
        <v>0</v>
      </c>
      <c r="F32" s="70" t="n">
        <f aca="false">E32-D32</f>
        <v>0</v>
      </c>
      <c r="G32" s="71" t="n">
        <v>7</v>
      </c>
      <c r="H32" s="72" t="str">
        <f aca="false">IF(ABS(F32)&lt;=G32,"PASS","FAIL")</f>
        <v>PASS</v>
      </c>
      <c r="I32" s="73" t="s">
        <v>1088</v>
      </c>
    </row>
    <row r="33" customFormat="false" ht="15" hidden="false" customHeight="false" outlineLevel="0" collapsed="false">
      <c r="A33" s="69" t="s">
        <v>1089</v>
      </c>
      <c r="B33" s="69" t="s">
        <v>1090</v>
      </c>
      <c r="C33" s="69" t="s">
        <v>1081</v>
      </c>
      <c r="D33" s="70" t="n">
        <f aca="false">0</f>
        <v>0</v>
      </c>
      <c r="E33" s="70" t="n">
        <f aca="false">ABS(N(EBIT_Analysis!F57))+ABS(N(EBIT_Analysis!G57))+ABS(N(EBIT_Analysis!H57))+ABS(N(EBIT_Analysis!I57))+ABS(N(EBIT_Analysis!J57))</f>
        <v>0</v>
      </c>
      <c r="F33" s="70" t="n">
        <f aca="false">E33-D33</f>
        <v>0</v>
      </c>
      <c r="G33" s="71" t="n">
        <v>0.0001</v>
      </c>
      <c r="H33" s="72" t="str">
        <f aca="false">IF(ABS(F33)&lt;=G33,"PASS","FAIL")</f>
        <v>PASS</v>
      </c>
      <c r="I33" s="73" t="s">
        <v>1091</v>
      </c>
    </row>
    <row r="34" customFormat="false" ht="15" hidden="false" customHeight="false" outlineLevel="0" collapsed="false">
      <c r="A34" s="69" t="s">
        <v>1092</v>
      </c>
      <c r="B34" s="69" t="s">
        <v>1093</v>
      </c>
      <c r="C34" s="69" t="s">
        <v>1094</v>
      </c>
      <c r="D34" s="70" t="n">
        <f aca="false">0</f>
        <v>0</v>
      </c>
      <c r="E34" s="70" t="n">
        <f aca="false">MAX(ABS(N(EBIT_Analysis!D11)),ABS(N(EBIT_Analysis!E11)),ABS(N(EBIT_Analysis!F11)),ABS(N(EBIT_Analysis!G11)),ABS(N(EBIT_Analysis!H11)),ABS(N(EBIT_Analysis!I11)),ABS(N(EBIT_Analysis!J11)))</f>
        <v>0.0448369764128563</v>
      </c>
      <c r="F34" s="70" t="n">
        <f aca="false">E34-D34</f>
        <v>0.0448369764128563</v>
      </c>
      <c r="G34" s="71" t="n">
        <v>0.05</v>
      </c>
      <c r="H34" s="72" t="str">
        <f aca="false">IF(ABS(F34)&lt;=G34,"PASS","FAIL")</f>
        <v>PASS</v>
      </c>
      <c r="I34" s="73" t="s">
        <v>1095</v>
      </c>
    </row>
    <row r="35" customFormat="false" ht="15" hidden="false" customHeight="false" outlineLevel="0" collapsed="false">
      <c r="A35" s="69" t="s">
        <v>1096</v>
      </c>
      <c r="B35" s="69" t="s">
        <v>1097</v>
      </c>
      <c r="C35" s="69" t="s">
        <v>1094</v>
      </c>
      <c r="D35" s="70" t="n">
        <f aca="false">0</f>
        <v>0</v>
      </c>
      <c r="E35" s="70" t="n">
        <f aca="false">IF(ABS(N(EBIT_Analysis!F64))&gt;N(EBIT_Analysis!F65),1,0)+IF(ABS(N(EBIT_Analysis!G64))&gt;N(EBIT_Analysis!G65),1,0)+IF(ABS(N(EBIT_Analysis!H64))&gt;N(EBIT_Analysis!H65),1,0)+IF(ABS(N(EBIT_Analysis!I64))&gt;N(EBIT_Analysis!I65),1,0)+IF(ABS(N(EBIT_Analysis!J64))&gt;N(EBIT_Analysis!J65),1,0)</f>
        <v>0</v>
      </c>
      <c r="F35" s="70" t="n">
        <f aca="false">E35-D35</f>
        <v>0</v>
      </c>
      <c r="G35" s="71" t="n">
        <v>0</v>
      </c>
      <c r="H35" s="72" t="str">
        <f aca="false">IF(ABS(F35)&lt;=G35,"PASS","FAIL")</f>
        <v>PASS</v>
      </c>
      <c r="I35" s="73" t="s">
        <v>1098</v>
      </c>
    </row>
    <row r="36" customFormat="false" ht="15" hidden="false" customHeight="false" outlineLevel="0" collapsed="false">
      <c r="A36" s="69" t="s">
        <v>1099</v>
      </c>
      <c r="B36" s="69" t="s">
        <v>1100</v>
      </c>
      <c r="C36" s="69" t="s">
        <v>1094</v>
      </c>
      <c r="D36" s="70" t="n">
        <f aca="false">0</f>
        <v>0</v>
      </c>
      <c r="E36" s="70" t="n">
        <f aca="false">MAX(ABS(N(RD_DA!D16)),ABS(N(RD_DA!E16)),ABS(N(RD_DA!F16)),ABS(N(RD_DA!G16)),ABS(N(RD_DA!H16)),ABS(N(RD_DA!I16)),ABS(N(RD_DA!J16)))</f>
        <v>0.0525525525525539</v>
      </c>
      <c r="F36" s="70" t="n">
        <f aca="false">E36-D36</f>
        <v>0.0525525525525539</v>
      </c>
      <c r="G36" s="71" t="n">
        <v>0.15</v>
      </c>
      <c r="H36" s="72" t="str">
        <f aca="false">IF(ABS(F36)&lt;=G36,"PASS","FAIL")</f>
        <v>PASS</v>
      </c>
      <c r="I36" s="73" t="s">
        <v>1095</v>
      </c>
    </row>
    <row r="37" customFormat="false" ht="15" hidden="false" customHeight="false" outlineLevel="0" collapsed="false">
      <c r="A37" s="69" t="s">
        <v>1101</v>
      </c>
      <c r="B37" s="69" t="s">
        <v>1102</v>
      </c>
      <c r="C37" s="69" t="s">
        <v>1094</v>
      </c>
      <c r="D37" s="70" t="n">
        <f aca="false">0</f>
        <v>0</v>
      </c>
      <c r="E37" s="70" t="n">
        <f aca="false">MAX(ABS(N(Commercial!D13)),ABS(N(Commercial!E13)),ABS(N(Commercial!F13)),ABS(N(Commercial!G13)),ABS(N(Commercial!H13)),ABS(N(Commercial!I13)),ABS(N(Commercial!J13)))</f>
        <v>0.457379034381091</v>
      </c>
      <c r="F37" s="70" t="n">
        <f aca="false">E37-D37</f>
        <v>0.457379034381091</v>
      </c>
      <c r="G37" s="71" t="n">
        <v>0.5</v>
      </c>
      <c r="H37" s="72" t="str">
        <f aca="false">IF(ABS(F37)&lt;=G37,"PASS","FAIL")</f>
        <v>PASS</v>
      </c>
      <c r="I37" s="73" t="s">
        <v>1103</v>
      </c>
    </row>
    <row r="38" customFormat="false" ht="15" hidden="false" customHeight="false" outlineLevel="0" collapsed="false">
      <c r="A38" s="69" t="s">
        <v>1104</v>
      </c>
      <c r="B38" s="69" t="s">
        <v>1105</v>
      </c>
      <c r="C38" s="69" t="s">
        <v>1094</v>
      </c>
      <c r="D38" s="70" t="n">
        <f aca="false">0</f>
        <v>0</v>
      </c>
      <c r="E38" s="70" t="n">
        <f aca="false">MAX(ABS(N(Cash_Crosscheck!D18)),ABS(N(Cash_Crosscheck!E18)),ABS(N(Cash_Crosscheck!F18)),ABS(N(Cash_Crosscheck!G18)),ABS(N(Cash_Crosscheck!H18)),ABS(N(Cash_Crosscheck!I18)),ABS(N(Cash_Crosscheck!J18)))</f>
        <v>0.041407051679266</v>
      </c>
      <c r="F38" s="70" t="n">
        <f aca="false">E38-D38</f>
        <v>0.041407051679266</v>
      </c>
      <c r="G38" s="71" t="n">
        <v>0.05</v>
      </c>
      <c r="H38" s="72" t="str">
        <f aca="false">IF(ABS(F38)&lt;=G38,"PASS","FAIL")</f>
        <v>PASS</v>
      </c>
      <c r="I38" s="73" t="s">
        <v>1095</v>
      </c>
    </row>
    <row r="39" customFormat="false" ht="15" hidden="false" customHeight="false" outlineLevel="0" collapsed="false">
      <c r="A39" s="69" t="s">
        <v>1106</v>
      </c>
      <c r="B39" s="69" t="s">
        <v>1107</v>
      </c>
      <c r="C39" s="69" t="s">
        <v>1094</v>
      </c>
      <c r="D39" s="70" t="n">
        <f aca="false">0</f>
        <v>0</v>
      </c>
      <c r="E39" s="70" t="n">
        <f aca="false">MAX(ABS(N(Cash_Crosscheck!D21)),ABS(N(Cash_Crosscheck!E21)),ABS(N(Cash_Crosscheck!F21)),ABS(N(Cash_Crosscheck!G21)),ABS(N(Cash_Crosscheck!H21)),ABS(N(Cash_Crosscheck!I21)),ABS(N(Cash_Crosscheck!J21)))</f>
        <v>0.0456128776883502</v>
      </c>
      <c r="F39" s="70" t="n">
        <f aca="false">E39-D39</f>
        <v>0.0456128776883502</v>
      </c>
      <c r="G39" s="71" t="n">
        <v>0.05</v>
      </c>
      <c r="H39" s="72" t="str">
        <f aca="false">IF(ABS(F39)&lt;=G39,"PASS","FAIL")</f>
        <v>PASS</v>
      </c>
      <c r="I39" s="73" t="s">
        <v>1095</v>
      </c>
    </row>
    <row r="40" customFormat="false" ht="15" hidden="false" customHeight="false" outlineLevel="0" collapsed="false">
      <c r="A40" s="69" t="s">
        <v>1108</v>
      </c>
      <c r="B40" s="69" t="s">
        <v>1109</v>
      </c>
      <c r="C40" s="69" t="s">
        <v>1081</v>
      </c>
      <c r="D40" s="70" t="n">
        <f aca="false">0</f>
        <v>0</v>
      </c>
      <c r="E40" s="70" t="n">
        <f aca="false">ABS(N(Commercial!F22))+ABS(N(Commercial!G22))+ABS(N(Commercial!H22))+ABS(N(Commercial!I22))+ABS(N(Commercial!J22))</f>
        <v>0</v>
      </c>
      <c r="F40" s="70" t="n">
        <f aca="false">E40-D40</f>
        <v>0</v>
      </c>
      <c r="G40" s="71" t="n">
        <v>0.001</v>
      </c>
      <c r="H40" s="72" t="str">
        <f aca="false">IF(ABS(F40)&lt;=G40,"PASS","FAIL")</f>
        <v>PASS</v>
      </c>
      <c r="I40" s="73" t="s">
        <v>1110</v>
      </c>
    </row>
    <row r="41" customFormat="false" ht="15" hidden="false" customHeight="false" outlineLevel="0" collapsed="false">
      <c r="A41" s="69" t="s">
        <v>1111</v>
      </c>
      <c r="B41" s="69" t="s">
        <v>1112</v>
      </c>
      <c r="C41" s="69" t="s">
        <v>1081</v>
      </c>
      <c r="D41" s="70" t="n">
        <f aca="false">0</f>
        <v>0</v>
      </c>
      <c r="E41" s="70" t="n">
        <f aca="false">ABS(N(Commercial!D31))+ABS(N(Commercial!E31))+ABS(N(Commercial!F31))+ABS(N(Commercial!G31))+ABS(N(Commercial!H31))+ABS(N(Commercial!I31))+ABS(N(Commercial!J31))+ABS(N(Commercial!D47))+ABS(N(Commercial!E47))+ABS(N(Commercial!F47))+ABS(N(Commercial!G47))+ABS(N(Commercial!H47))+ABS(N(Commercial!I47))+ABS(N(Commercial!J47))</f>
        <v>0</v>
      </c>
      <c r="F41" s="70" t="n">
        <f aca="false">E41-D41</f>
        <v>0</v>
      </c>
      <c r="G41" s="71" t="n">
        <v>0</v>
      </c>
      <c r="H41" s="72" t="str">
        <f aca="false">IF(ABS(F41)&lt;=G41,"PASS","FAIL")</f>
        <v>PASS</v>
      </c>
      <c r="I41" s="73" t="s">
        <v>1113</v>
      </c>
    </row>
    <row r="42" customFormat="false" ht="15" hidden="false" customHeight="false" outlineLevel="0" collapsed="false">
      <c r="A42" s="69" t="s">
        <v>1114</v>
      </c>
      <c r="B42" s="69" t="s">
        <v>1115</v>
      </c>
      <c r="C42" s="69" t="s">
        <v>1081</v>
      </c>
      <c r="D42" s="70" t="n">
        <f aca="false">0</f>
        <v>0</v>
      </c>
      <c r="E42" s="70" t="n">
        <f aca="false">ABS(N(Cash_Crosscheck!D13))+ABS(N(Cash_Crosscheck!E13))+ABS(N(Cash_Crosscheck!F13))+ABS(N(Cash_Crosscheck!G13))+ABS(N(Cash_Crosscheck!H13))+ABS(N(Cash_Crosscheck!I13))+ABS(N(Cash_Crosscheck!J13))</f>
        <v>0.220646999999644</v>
      </c>
      <c r="F42" s="70" t="n">
        <f aca="false">E42-D42</f>
        <v>0.220646999999644</v>
      </c>
      <c r="G42" s="71" t="n">
        <v>0.5</v>
      </c>
      <c r="H42" s="72" t="str">
        <f aca="false">IF(ABS(F42)&lt;=G42,"PASS","FAIL")</f>
        <v>PASS</v>
      </c>
      <c r="I42" s="73" t="s">
        <v>1116</v>
      </c>
    </row>
    <row r="43" customFormat="false" ht="15" hidden="false" customHeight="false" outlineLevel="0" collapsed="false">
      <c r="A43" s="69" t="s">
        <v>1117</v>
      </c>
      <c r="B43" s="69" t="s">
        <v>1118</v>
      </c>
      <c r="C43" s="69" t="s">
        <v>1081</v>
      </c>
      <c r="D43" s="70" t="n">
        <f aca="false">0</f>
        <v>0</v>
      </c>
      <c r="E43" s="70" t="n">
        <f aca="false">ABS(COUNTA(Guidance_Scenarios!A49:A75)-27)+ABS(N(Guidance_Scenarios!I49)-N(Guidance_Scenarios!$C$18)-N(Guidance_Scenarios!K49))+ABS(N(Guidance_Scenarios!I50)-N(Guidance_Scenarios!$C$18)-N(Guidance_Scenarios!K50))+ABS(N(Guidance_Scenarios!I51)-N(Guidance_Scenarios!$C$18)-N(Guidance_Scenarios!K51))+ABS(N(Guidance_Scenarios!I52)-N(Guidance_Scenarios!$C$18)-N(Guidance_Scenarios!K52))+ABS(N(Guidance_Scenarios!I53)-N(Guidance_Scenarios!$C$18)-N(Guidance_Scenarios!K53))+ABS(N(Guidance_Scenarios!I54)-N(Guidance_Scenarios!$C$18)-N(Guidance_Scenarios!K54))+ABS(N(Guidance_Scenarios!I55)-N(Guidance_Scenarios!$C$18)-N(Guidance_Scenarios!K55))+ABS(N(Guidance_Scenarios!I56)-N(Guidance_Scenarios!$C$18)-N(Guidance_Scenarios!K56))+ABS(N(Guidance_Scenarios!I57)-N(Guidance_Scenarios!$C$18)-N(Guidance_Scenarios!K57))+ABS(N(Guidance_Scenarios!I58)-N(Guidance_Scenarios!$C$18)-N(Guidance_Scenarios!K58))+ABS(N(Guidance_Scenarios!I59)-N(Guidance_Scenarios!$C$18)-N(Guidance_Scenarios!K59))+ABS(N(Guidance_Scenarios!I60)-N(Guidance_Scenarios!$C$18)-N(Guidance_Scenarios!K60))+ABS(N(Guidance_Scenarios!I61)-N(Guidance_Scenarios!$C$18)-N(Guidance_Scenarios!K61))+ABS(N(Guidance_Scenarios!I62)-N(Guidance_Scenarios!$C$18)-N(Guidance_Scenarios!K62))+ABS(N(Guidance_Scenarios!I63)-N(Guidance_Scenarios!$C$18)-N(Guidance_Scenarios!K63))+ABS(N(Guidance_Scenarios!I64)-N(Guidance_Scenarios!$C$18)-N(Guidance_Scenarios!K64))+ABS(N(Guidance_Scenarios!I65)-N(Guidance_Scenarios!$C$18)-N(Guidance_Scenarios!K65))+ABS(N(Guidance_Scenarios!I66)-N(Guidance_Scenarios!$C$18)-N(Guidance_Scenarios!K66))+ABS(N(Guidance_Scenarios!I67)-N(Guidance_Scenarios!$C$18)-N(Guidance_Scenarios!K67))+ABS(N(Guidance_Scenarios!I68)-N(Guidance_Scenarios!$C$18)-N(Guidance_Scenarios!K68))+ABS(N(Guidance_Scenarios!I69)-N(Guidance_Scenarios!$C$18)-N(Guidance_Scenarios!K69))+ABS(N(Guidance_Scenarios!I70)-N(Guidance_Scenarios!$C$18)-N(Guidance_Scenarios!K70))+ABS(N(Guidance_Scenarios!I71)-N(Guidance_Scenarios!$C$18)-N(Guidance_Scenarios!K71))+ABS(N(Guidance_Scenarios!I72)-N(Guidance_Scenarios!$C$18)-N(Guidance_Scenarios!K72))+ABS(N(Guidance_Scenarios!I73)-N(Guidance_Scenarios!$C$18)-N(Guidance_Scenarios!K73))+ABS(N(Guidance_Scenarios!I74)-N(Guidance_Scenarios!$C$18)-N(Guidance_Scenarios!K74))+ABS(N(Guidance_Scenarios!I75)-N(Guidance_Scenarios!$C$18)-N(Guidance_Scenarios!K75))</f>
        <v>0</v>
      </c>
      <c r="F43" s="70" t="n">
        <f aca="false">E43-D43</f>
        <v>0</v>
      </c>
      <c r="G43" s="71" t="n">
        <v>0.001</v>
      </c>
      <c r="H43" s="72" t="str">
        <f aca="false">IF(ABS(F43)&lt;=G43,"PASS","FAIL")</f>
        <v>PASS</v>
      </c>
      <c r="I43" s="73" t="s">
        <v>1119</v>
      </c>
    </row>
    <row r="44" customFormat="false" ht="15" hidden="false" customHeight="false" outlineLevel="0" collapsed="false">
      <c r="A44" s="69" t="s">
        <v>1120</v>
      </c>
      <c r="B44" s="69" t="s">
        <v>1121</v>
      </c>
      <c r="C44" s="69" t="s">
        <v>1122</v>
      </c>
      <c r="D44" s="70" t="n">
        <f aca="false">0</f>
        <v>0</v>
      </c>
      <c r="E44" s="70" t="n">
        <f aca="false">ABS(COUNTA(Guidance_Scenarios!B49:B75)-27)+ABS(COUNTA(Guidance_Scenarios!B88:B96)-9)+IF(Guidance_Scenarios!B49="Scenario combination - not a forecast; no probability",0,1)+IF(Guidance_Scenarios!B50="Scenario combination - not a forecast; no probability",0,1)+IF(Guidance_Scenarios!B51="Scenario combination - not a forecast; no probability",0,1)+IF(Guidance_Scenarios!B52="Scenario combination - not a forecast; no probability",0,1)+IF(Guidance_Scenarios!B53="Scenario combination - not a forecast; no probability",0,1)+IF(Guidance_Scenarios!B54="Scenario combination - not a forecast; no probability",0,1)+IF(Guidance_Scenarios!B55="Scenario combination - not a forecast; no probability",0,1)+IF(Guidance_Scenarios!B56="Scenario combination - not a forecast; no probability",0,1)+IF(Guidance_Scenarios!B57="Scenario combination - not a forecast; no probability",0,1)+IF(Guidance_Scenarios!B58="Scenario combination - not a forecast; no probability",0,1)+IF(Guidance_Scenarios!B59="Scenario combination - not a forecast; no probability",0,1)+IF(Guidance_Scenarios!B60="Scenario combination - not a forecast; no probability",0,1)+IF(Guidance_Scenarios!B61="Scenario combination - not a forecast; no probability",0,1)+IF(Guidance_Scenarios!B62="Scenario combination - not a forecast; no probability",0,1)+IF(Guidance_Scenarios!B63="Scenario combination - not a forecast; no probability",0,1)+IF(Guidance_Scenarios!B64="Scenario combination - not a forecast; no probability",0,1)+IF(Guidance_Scenarios!B65="Scenario combination - not a forecast; no probability",0,1)+IF(Guidance_Scenarios!B66="Scenario combination - not a forecast; no probability",0,1)+IF(Guidance_Scenarios!B67="Scenario combination - not a forecast; no probability",0,1)+IF(Guidance_Scenarios!B68="Scenario combination - not a forecast; no probability",0,1)+IF(Guidance_Scenarios!B69="Scenario combination - not a forecast; no probability",0,1)+IF(Guidance_Scenarios!B70="Scenario combination - not a forecast; no probability",0,1)+IF(Guidance_Scenarios!B71="Scenario combination - not a forecast; no probability",0,1)+IF(Guidance_Scenarios!B72="Scenario combination - not a forecast; no probability",0,1)+IF(Guidance_Scenarios!B73="Scenario combination - not a forecast; no probability",0,1)+IF(Guidance_Scenarios!B74="Scenario combination - not a forecast; no probability",0,1)+IF(Guidance_Scenarios!B75="Scenario combination - not a forecast; no probability",0,1)+IF(Guidance_Scenarios!B88="Scenario combination - not a forecast; no probability",0,1)+IF(Guidance_Scenarios!B89="Scenario combination - not a forecast; no probability",0,1)+IF(Guidance_Scenarios!B90="Scenario combination - not a forecast; no probability",0,1)+IF(Guidance_Scenarios!B91="Scenario combination - not a forecast; no probability",0,1)+IF(Guidance_Scenarios!B92="Scenario combination - not a forecast; no probability",0,1)+IF(Guidance_Scenarios!B93="Scenario combination - not a forecast; no probability",0,1)+IF(Guidance_Scenarios!B94="Scenario combination - not a forecast; no probability",0,1)+IF(Guidance_Scenarios!B95="Scenario combination - not a forecast; no probability",0,1)+IF(Guidance_Scenarios!B96="Scenario combination - not a forecast; no probability",0,1)</f>
        <v>0</v>
      </c>
      <c r="F44" s="70" t="n">
        <f aca="false">E44-D44</f>
        <v>0</v>
      </c>
      <c r="G44" s="71" t="n">
        <v>0</v>
      </c>
      <c r="H44" s="72" t="str">
        <f aca="false">IF(ABS(F44)&lt;=G44,"PASS","FAIL")</f>
        <v>PASS</v>
      </c>
      <c r="I44" s="73" t="s">
        <v>1123</v>
      </c>
    </row>
    <row r="45" customFormat="false" ht="15" hidden="false" customHeight="false" outlineLevel="0" collapsed="false">
      <c r="A45" s="69" t="s">
        <v>1124</v>
      </c>
      <c r="B45" s="69" t="s">
        <v>1125</v>
      </c>
      <c r="C45" s="69" t="s">
        <v>1122</v>
      </c>
      <c r="D45" s="70" t="n">
        <f aca="false">0</f>
        <v>0</v>
      </c>
      <c r="E45" s="70" t="n">
        <f aca="false">IF(EBIT_Analysis!A31="E. SUPPLEMENTARY HYBRID SENSITIVITY (L3) - not underlying group profitability; NOT a headline KPI",0,1)</f>
        <v>0</v>
      </c>
      <c r="F45" s="70" t="n">
        <f aca="false">E45-D45</f>
        <v>0</v>
      </c>
      <c r="G45" s="71" t="n">
        <v>0</v>
      </c>
      <c r="H45" s="72" t="str">
        <f aca="false">IF(ABS(F45)&lt;=G45,"PASS","FAIL")</f>
        <v>PASS</v>
      </c>
      <c r="I45" s="73" t="s">
        <v>1126</v>
      </c>
    </row>
    <row r="46" customFormat="false" ht="15" hidden="false" customHeight="false" outlineLevel="0" collapsed="false">
      <c r="A46" s="69" t="s">
        <v>1127</v>
      </c>
      <c r="B46" s="69" t="s">
        <v>1128</v>
      </c>
      <c r="C46" s="69" t="s">
        <v>1129</v>
      </c>
      <c r="D46" s="70" t="n">
        <f aca="false">0</f>
        <v>0</v>
      </c>
      <c r="E46" s="70" t="n">
        <f aca="false">SUM(Audit_Register!D87:D127)</f>
        <v>0</v>
      </c>
      <c r="F46" s="70" t="n">
        <f aca="false">E46-D46</f>
        <v>0</v>
      </c>
      <c r="G46" s="71" t="n">
        <v>0</v>
      </c>
      <c r="H46" s="72" t="str">
        <f aca="false">IF(ABS(F46)&lt;=G46,"PASS","FAIL")</f>
        <v>PASS</v>
      </c>
      <c r="I46" s="73" t="s">
        <v>1130</v>
      </c>
    </row>
    <row r="47" customFormat="false" ht="15" hidden="false" customHeight="false" outlineLevel="0" collapsed="false">
      <c r="A47" s="69" t="s">
        <v>1131</v>
      </c>
      <c r="B47" s="69" t="s">
        <v>1132</v>
      </c>
      <c r="C47" s="69" t="s">
        <v>1133</v>
      </c>
      <c r="D47" s="70" t="n">
        <f aca="false">1</f>
        <v>1</v>
      </c>
      <c r="E47" s="70" t="n">
        <f aca="false">MAX(Data_Long!K6:K243)</f>
        <v>1</v>
      </c>
      <c r="F47" s="70" t="n">
        <f aca="false">E47-D47</f>
        <v>0</v>
      </c>
      <c r="G47" s="71" t="n">
        <v>0</v>
      </c>
      <c r="H47" s="72" t="str">
        <f aca="false">IF(ABS(F47)&lt;=G47,"PASS","FAIL")</f>
        <v>PASS</v>
      </c>
      <c r="I47" s="73" t="s">
        <v>1134</v>
      </c>
    </row>
    <row r="48" customFormat="false" ht="15" hidden="false" customHeight="false" outlineLevel="0" collapsed="false">
      <c r="A48" s="69" t="s">
        <v>1135</v>
      </c>
      <c r="B48" s="69" t="s">
        <v>1136</v>
      </c>
      <c r="C48" s="69" t="s">
        <v>1133</v>
      </c>
      <c r="D48" s="70" t="n">
        <f aca="false">0</f>
        <v>0</v>
      </c>
      <c r="E48" s="70" t="n">
        <f aca="false">SUM(Data_Long!M6:M243)</f>
        <v>0</v>
      </c>
      <c r="F48" s="70" t="n">
        <f aca="false">E48-D48</f>
        <v>0</v>
      </c>
      <c r="G48" s="71" t="n">
        <v>1E-006</v>
      </c>
      <c r="H48" s="72" t="str">
        <f aca="false">IF(ABS(F48)&lt;=G48,"PASS","FAIL")</f>
        <v>PASS</v>
      </c>
      <c r="I48" s="73" t="s">
        <v>1137</v>
      </c>
    </row>
    <row r="49" customFormat="false" ht="15" hidden="false" customHeight="false" outlineLevel="0" collapsed="false">
      <c r="A49" s="69" t="s">
        <v>1138</v>
      </c>
      <c r="B49" s="69" t="s">
        <v>1139</v>
      </c>
      <c r="C49" s="69" t="s">
        <v>1140</v>
      </c>
      <c r="D49" s="70" t="n">
        <f aca="false">20430.922514</f>
        <v>20430.922514</v>
      </c>
      <c r="E49" s="70" t="n">
        <f aca="false">KPI_Overview!D6*1</f>
        <v>20430.922514</v>
      </c>
      <c r="F49" s="70" t="n">
        <f aca="false">E49-D49</f>
        <v>0</v>
      </c>
      <c r="G49" s="71" t="n">
        <v>1E-006</v>
      </c>
      <c r="H49" s="72" t="str">
        <f aca="false">IF(ABS(F49)&lt;=G49,"PASS","FAIL")</f>
        <v>PASS</v>
      </c>
      <c r="I49" s="73" t="s">
        <v>1141</v>
      </c>
    </row>
    <row r="50" customFormat="false" ht="15" hidden="false" customHeight="false" outlineLevel="0" collapsed="false">
      <c r="A50" s="69" t="s">
        <v>1142</v>
      </c>
      <c r="B50" s="69" t="s">
        <v>1143</v>
      </c>
      <c r="C50" s="69" t="s">
        <v>1140</v>
      </c>
      <c r="D50" s="70" t="n">
        <f aca="false">3852.235213</f>
        <v>3852.235213</v>
      </c>
      <c r="E50" s="70" t="n">
        <f aca="false">KPI_Overview!D7*1</f>
        <v>3852.235213</v>
      </c>
      <c r="F50" s="70" t="n">
        <f aca="false">E50-D50</f>
        <v>0</v>
      </c>
      <c r="G50" s="71" t="n">
        <v>1E-006</v>
      </c>
      <c r="H50" s="72" t="str">
        <f aca="false">IF(ABS(F50)&lt;=G50,"PASS","FAIL")</f>
        <v>PASS</v>
      </c>
      <c r="I50" s="73" t="s">
        <v>1144</v>
      </c>
    </row>
    <row r="51" customFormat="false" ht="15" hidden="false" customHeight="false" outlineLevel="0" collapsed="false">
      <c r="A51" s="69" t="s">
        <v>1145</v>
      </c>
      <c r="B51" s="69" t="s">
        <v>1146</v>
      </c>
      <c r="C51" s="69" t="s">
        <v>1140</v>
      </c>
      <c r="D51" s="70" t="n">
        <f aca="false">1006.791297</f>
        <v>1006.791297</v>
      </c>
      <c r="E51" s="70" t="n">
        <f aca="false">KPI_Overview!H7*1</f>
        <v>1006.791297</v>
      </c>
      <c r="F51" s="70" t="n">
        <f aca="false">E51-D51</f>
        <v>0</v>
      </c>
      <c r="G51" s="71" t="n">
        <v>1E-006</v>
      </c>
      <c r="H51" s="72" t="str">
        <f aca="false">IF(ABS(F51)&lt;=G51,"PASS","FAIL")</f>
        <v>PASS</v>
      </c>
      <c r="I51" s="73" t="s">
        <v>1147</v>
      </c>
    </row>
    <row r="52" customFormat="false" ht="15" hidden="false" customHeight="false" outlineLevel="0" collapsed="false">
      <c r="A52" s="69" t="s">
        <v>1148</v>
      </c>
      <c r="B52" s="69" t="s">
        <v>1149</v>
      </c>
      <c r="C52" s="69" t="s">
        <v>1140</v>
      </c>
      <c r="D52" s="70" t="n">
        <f aca="false">1348.185049</f>
        <v>1348.185049</v>
      </c>
      <c r="E52" s="70" t="n">
        <f aca="false">KPI_Overview!J7*1</f>
        <v>1348.185049</v>
      </c>
      <c r="F52" s="70" t="n">
        <f aca="false">E52-D52</f>
        <v>0</v>
      </c>
      <c r="G52" s="71" t="n">
        <v>1E-006</v>
      </c>
      <c r="H52" s="72" t="str">
        <f aca="false">IF(ABS(F52)&lt;=G52,"PASS","FAIL")</f>
        <v>PASS</v>
      </c>
      <c r="I52" s="73" t="s">
        <v>1150</v>
      </c>
    </row>
    <row r="53" customFormat="false" ht="15" hidden="false" customHeight="false" outlineLevel="0" collapsed="false">
      <c r="A53" s="69" t="s">
        <v>1151</v>
      </c>
      <c r="B53" s="69" t="s">
        <v>1152</v>
      </c>
      <c r="C53" s="69" t="s">
        <v>1140</v>
      </c>
      <c r="D53" s="70" t="n">
        <f aca="false">7.82</f>
        <v>7.82</v>
      </c>
      <c r="E53" s="70" t="n">
        <f aca="false">KPI_Overview!J8*100</f>
        <v>7.82488481315636</v>
      </c>
      <c r="F53" s="70" t="n">
        <f aca="false">E53-D53</f>
        <v>0.00488481315635436</v>
      </c>
      <c r="G53" s="71" t="n">
        <v>0.005</v>
      </c>
      <c r="H53" s="72" t="str">
        <f aca="false">IF(ABS(F53)&lt;=G53,"PASS","FAIL")</f>
        <v>PASS</v>
      </c>
      <c r="I53" s="73" t="s">
        <v>1153</v>
      </c>
    </row>
    <row r="54" customFormat="false" ht="15" hidden="false" customHeight="false" outlineLevel="0" collapsed="false">
      <c r="A54" s="69" t="s">
        <v>1154</v>
      </c>
      <c r="B54" s="69" t="s">
        <v>1155</v>
      </c>
      <c r="C54" s="69" t="s">
        <v>1140</v>
      </c>
      <c r="D54" s="70" t="n">
        <f aca="false">1448.185049</f>
        <v>1448.185049</v>
      </c>
      <c r="E54" s="70" t="n">
        <f aca="false">KPI_Overview!J9*1</f>
        <v>1448.185049</v>
      </c>
      <c r="F54" s="70" t="n">
        <f aca="false">E54-D54</f>
        <v>0</v>
      </c>
      <c r="G54" s="71" t="n">
        <v>1E-006</v>
      </c>
      <c r="H54" s="72" t="str">
        <f aca="false">IF(ABS(F54)&lt;=G54,"PASS","FAIL")</f>
        <v>PASS</v>
      </c>
      <c r="I54" s="73" t="s">
        <v>1156</v>
      </c>
    </row>
    <row r="55" customFormat="false" ht="15" hidden="false" customHeight="false" outlineLevel="0" collapsed="false">
      <c r="A55" s="69" t="s">
        <v>1157</v>
      </c>
      <c r="B55" s="69" t="s">
        <v>1158</v>
      </c>
      <c r="C55" s="69" t="s">
        <v>1140</v>
      </c>
      <c r="D55" s="70" t="n">
        <f aca="false">8.41</f>
        <v>8.41</v>
      </c>
      <c r="E55" s="70" t="n">
        <f aca="false">KPI_Overview!J10*100</f>
        <v>8.40528620678999</v>
      </c>
      <c r="F55" s="70" t="n">
        <f aca="false">E55-D55</f>
        <v>-0.00471379321000676</v>
      </c>
      <c r="G55" s="71" t="n">
        <v>0.005</v>
      </c>
      <c r="H55" s="72" t="str">
        <f aca="false">IF(ABS(F55)&lt;=G55,"PASS","FAIL")</f>
        <v>PASS</v>
      </c>
      <c r="I55" s="73" t="s">
        <v>1159</v>
      </c>
    </row>
    <row r="56" customFormat="false" ht="15" hidden="false" customHeight="false" outlineLevel="0" collapsed="false">
      <c r="A56" s="69" t="s">
        <v>1160</v>
      </c>
      <c r="B56" s="69" t="s">
        <v>1161</v>
      </c>
      <c r="C56" s="69" t="s">
        <v>1140</v>
      </c>
      <c r="D56" s="70" t="n">
        <f aca="false">125.78</f>
        <v>125.78</v>
      </c>
      <c r="E56" s="70" t="n">
        <f aca="false">KPI_Overview!J15*1</f>
        <v>125.784180303382</v>
      </c>
      <c r="F56" s="70" t="n">
        <f aca="false">E56-D56</f>
        <v>0.00418030338234132</v>
      </c>
      <c r="G56" s="71" t="n">
        <v>0.005</v>
      </c>
      <c r="H56" s="72" t="str">
        <f aca="false">IF(ABS(F56)&lt;=G56,"PASS","FAIL")</f>
        <v>PASS</v>
      </c>
      <c r="I56" s="73" t="s">
        <v>1162</v>
      </c>
    </row>
  </sheetData>
  <mergeCells count="1">
    <mergeCell ref="C4:F4"/>
  </mergeCells>
  <conditionalFormatting sqref="H7:H56">
    <cfRule type="expression" priority="2" aboveAverage="0" equalAverage="0" bottom="0" percent="0" rank="0" text="" dxfId="5">
      <formula>H7="FAIL"</formula>
    </cfRule>
    <cfRule type="expression" priority="3" aboveAverage="0" equalAverage="0" bottom="0" percent="0" rank="0" text="" dxfId="6">
      <formula>H7="PASS"</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true"/>
  </sheetPr>
  <dimension ref="A1:H127"/>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7" min="2" style="0" width="40"/>
    <col collapsed="false" customWidth="true" hidden="false" outlineLevel="0" max="8" min="8" style="0" width="50"/>
  </cols>
  <sheetData>
    <row r="1" customFormat="false" ht="17.35" hidden="false" customHeight="false" outlineLevel="0" collapsed="false">
      <c r="A1" s="1" t="s">
        <v>1163</v>
      </c>
    </row>
    <row r="2" customFormat="false" ht="15" hidden="false" customHeight="false" outlineLevel="0" collapsed="false">
      <c r="A2" s="2" t="s">
        <v>1164</v>
      </c>
    </row>
    <row r="4" customFormat="false" ht="15" hidden="false" customHeight="false" outlineLevel="0" collapsed="false">
      <c r="A4" s="35" t="s">
        <v>1165</v>
      </c>
      <c r="B4" s="36"/>
      <c r="C4" s="36"/>
      <c r="D4" s="36"/>
      <c r="E4" s="36"/>
      <c r="F4" s="36"/>
      <c r="G4" s="36"/>
      <c r="H4" s="36"/>
    </row>
    <row r="5" customFormat="false" ht="15" hidden="false" customHeight="false" outlineLevel="0" collapsed="false">
      <c r="A5" s="13" t="s">
        <v>187</v>
      </c>
      <c r="B5" s="13" t="s">
        <v>1166</v>
      </c>
      <c r="C5" s="13" t="s">
        <v>1167</v>
      </c>
      <c r="D5" s="13" t="s">
        <v>1168</v>
      </c>
      <c r="E5" s="13" t="s">
        <v>1169</v>
      </c>
      <c r="F5" s="13" t="s">
        <v>1170</v>
      </c>
      <c r="G5" s="13" t="s">
        <v>1171</v>
      </c>
      <c r="H5" s="13" t="s">
        <v>1172</v>
      </c>
    </row>
    <row r="6" customFormat="false" ht="35.05" hidden="false" customHeight="false" outlineLevel="0" collapsed="false">
      <c r="A6" s="4" t="s">
        <v>1173</v>
      </c>
      <c r="B6" s="4" t="s">
        <v>1174</v>
      </c>
      <c r="C6" s="4" t="s">
        <v>1175</v>
      </c>
      <c r="D6" s="4" t="s">
        <v>1176</v>
      </c>
      <c r="E6" s="4" t="s">
        <v>1177</v>
      </c>
      <c r="F6" s="4" t="s">
        <v>1178</v>
      </c>
      <c r="G6" s="4" t="s">
        <v>1179</v>
      </c>
      <c r="H6" s="4" t="s">
        <v>1180</v>
      </c>
    </row>
    <row r="7" customFormat="false" ht="35.05" hidden="false" customHeight="false" outlineLevel="0" collapsed="false">
      <c r="A7" s="4" t="s">
        <v>195</v>
      </c>
      <c r="B7" s="4" t="s">
        <v>1174</v>
      </c>
      <c r="C7" s="4" t="s">
        <v>1175</v>
      </c>
      <c r="D7" s="4" t="s">
        <v>1181</v>
      </c>
      <c r="E7" s="4" t="s">
        <v>1182</v>
      </c>
      <c r="F7" s="4" t="s">
        <v>1178</v>
      </c>
      <c r="G7" s="4" t="s">
        <v>1179</v>
      </c>
      <c r="H7" s="4" t="s">
        <v>1183</v>
      </c>
    </row>
    <row r="8" customFormat="false" ht="35.05" hidden="false" customHeight="false" outlineLevel="0" collapsed="false">
      <c r="A8" s="4" t="s">
        <v>1184</v>
      </c>
      <c r="B8" s="4" t="s">
        <v>1174</v>
      </c>
      <c r="C8" s="4" t="s">
        <v>1175</v>
      </c>
      <c r="D8" s="4" t="s">
        <v>1185</v>
      </c>
      <c r="E8" s="4" t="s">
        <v>1177</v>
      </c>
      <c r="F8" s="4" t="s">
        <v>1186</v>
      </c>
      <c r="G8" s="4" t="s">
        <v>1187</v>
      </c>
      <c r="H8" s="4" t="s">
        <v>1188</v>
      </c>
    </row>
    <row r="9" customFormat="false" ht="57.45" hidden="false" customHeight="false" outlineLevel="0" collapsed="false">
      <c r="A9" s="4" t="s">
        <v>1189</v>
      </c>
      <c r="B9" s="4" t="s">
        <v>1174</v>
      </c>
      <c r="C9" s="4" t="s">
        <v>1175</v>
      </c>
      <c r="D9" s="4" t="s">
        <v>1190</v>
      </c>
      <c r="E9" s="4" t="s">
        <v>1191</v>
      </c>
      <c r="F9" s="4" t="s">
        <v>1186</v>
      </c>
      <c r="G9" s="4" t="s">
        <v>1187</v>
      </c>
      <c r="H9" s="4" t="s">
        <v>1192</v>
      </c>
    </row>
    <row r="10" customFormat="false" ht="35.05" hidden="false" customHeight="false" outlineLevel="0" collapsed="false">
      <c r="A10" s="4" t="s">
        <v>204</v>
      </c>
      <c r="B10" s="4" t="s">
        <v>1174</v>
      </c>
      <c r="C10" s="4" t="s">
        <v>1175</v>
      </c>
      <c r="D10" s="4" t="s">
        <v>1193</v>
      </c>
      <c r="E10" s="4" t="s">
        <v>1177</v>
      </c>
      <c r="F10" s="4" t="s">
        <v>1194</v>
      </c>
      <c r="G10" s="4" t="s">
        <v>1195</v>
      </c>
      <c r="H10" s="4" t="s">
        <v>1196</v>
      </c>
    </row>
    <row r="11" customFormat="false" ht="35.05" hidden="false" customHeight="false" outlineLevel="0" collapsed="false">
      <c r="A11" s="4" t="s">
        <v>247</v>
      </c>
      <c r="B11" s="4" t="s">
        <v>1174</v>
      </c>
      <c r="C11" s="4" t="s">
        <v>1175</v>
      </c>
      <c r="D11" s="4" t="s">
        <v>1197</v>
      </c>
      <c r="E11" s="4" t="s">
        <v>1182</v>
      </c>
      <c r="F11" s="4" t="s">
        <v>1194</v>
      </c>
      <c r="G11" s="4" t="s">
        <v>1195</v>
      </c>
      <c r="H11" s="4" t="s">
        <v>1198</v>
      </c>
    </row>
    <row r="12" customFormat="false" ht="35.05" hidden="false" customHeight="false" outlineLevel="0" collapsed="false">
      <c r="A12" s="4" t="s">
        <v>1199</v>
      </c>
      <c r="B12" s="4" t="s">
        <v>1174</v>
      </c>
      <c r="C12" s="4" t="s">
        <v>1175</v>
      </c>
      <c r="D12" s="4" t="s">
        <v>1200</v>
      </c>
      <c r="E12" s="4" t="s">
        <v>1177</v>
      </c>
      <c r="F12" s="4" t="s">
        <v>1201</v>
      </c>
      <c r="G12" s="4" t="s">
        <v>1202</v>
      </c>
      <c r="H12" s="4" t="s">
        <v>1203</v>
      </c>
    </row>
    <row r="13" customFormat="false" ht="57.45" hidden="false" customHeight="false" outlineLevel="0" collapsed="false">
      <c r="A13" s="4" t="s">
        <v>1204</v>
      </c>
      <c r="B13" s="4" t="s">
        <v>1174</v>
      </c>
      <c r="C13" s="4" t="s">
        <v>1175</v>
      </c>
      <c r="D13" s="4" t="s">
        <v>1205</v>
      </c>
      <c r="E13" s="4" t="s">
        <v>1191</v>
      </c>
      <c r="F13" s="4" t="s">
        <v>1201</v>
      </c>
      <c r="G13" s="4" t="s">
        <v>1202</v>
      </c>
      <c r="H13" s="4" t="s">
        <v>1206</v>
      </c>
    </row>
    <row r="14" customFormat="false" ht="35.05" hidden="false" customHeight="false" outlineLevel="0" collapsed="false">
      <c r="A14" s="4" t="s">
        <v>285</v>
      </c>
      <c r="B14" s="4" t="s">
        <v>1174</v>
      </c>
      <c r="C14" s="4" t="s">
        <v>1175</v>
      </c>
      <c r="D14" s="4" t="s">
        <v>1207</v>
      </c>
      <c r="E14" s="4" t="s">
        <v>1177</v>
      </c>
      <c r="F14" s="4" t="s">
        <v>537</v>
      </c>
      <c r="G14" s="4" t="s">
        <v>1208</v>
      </c>
      <c r="H14" s="4" t="s">
        <v>1209</v>
      </c>
    </row>
    <row r="15" customFormat="false" ht="35.05" hidden="false" customHeight="false" outlineLevel="0" collapsed="false">
      <c r="A15" s="4" t="s">
        <v>296</v>
      </c>
      <c r="B15" s="4" t="s">
        <v>1174</v>
      </c>
      <c r="C15" s="4" t="s">
        <v>1175</v>
      </c>
      <c r="D15" s="4" t="s">
        <v>1210</v>
      </c>
      <c r="E15" s="4" t="s">
        <v>1182</v>
      </c>
      <c r="F15" s="4" t="s">
        <v>537</v>
      </c>
      <c r="G15" s="4" t="s">
        <v>1208</v>
      </c>
      <c r="H15" s="4" t="s">
        <v>1211</v>
      </c>
    </row>
    <row r="16" customFormat="false" ht="35.05" hidden="false" customHeight="false" outlineLevel="0" collapsed="false">
      <c r="A16" s="4" t="s">
        <v>1212</v>
      </c>
      <c r="B16" s="4" t="s">
        <v>1174</v>
      </c>
      <c r="C16" s="4" t="s">
        <v>1175</v>
      </c>
      <c r="D16" s="4" t="s">
        <v>1213</v>
      </c>
      <c r="E16" s="4" t="s">
        <v>1177</v>
      </c>
      <c r="F16" s="4" t="s">
        <v>1214</v>
      </c>
      <c r="G16" s="4" t="s">
        <v>1215</v>
      </c>
      <c r="H16" s="4" t="s">
        <v>1216</v>
      </c>
    </row>
    <row r="17" customFormat="false" ht="46.25" hidden="false" customHeight="false" outlineLevel="0" collapsed="false">
      <c r="A17" s="4" t="s">
        <v>1217</v>
      </c>
      <c r="B17" s="4" t="s">
        <v>1174</v>
      </c>
      <c r="C17" s="4" t="s">
        <v>1175</v>
      </c>
      <c r="D17" s="4" t="s">
        <v>1218</v>
      </c>
      <c r="E17" s="4" t="s">
        <v>1191</v>
      </c>
      <c r="F17" s="4" t="s">
        <v>1214</v>
      </c>
      <c r="G17" s="4" t="s">
        <v>1215</v>
      </c>
      <c r="H17" s="4" t="s">
        <v>1219</v>
      </c>
    </row>
    <row r="18" customFormat="false" ht="35.05" hidden="false" customHeight="false" outlineLevel="0" collapsed="false">
      <c r="A18" s="4" t="s">
        <v>1220</v>
      </c>
      <c r="B18" s="4" t="s">
        <v>1174</v>
      </c>
      <c r="C18" s="4" t="s">
        <v>1175</v>
      </c>
      <c r="D18" s="4" t="s">
        <v>1221</v>
      </c>
      <c r="E18" s="4" t="s">
        <v>1222</v>
      </c>
      <c r="F18" s="4" t="s">
        <v>1214</v>
      </c>
      <c r="G18" s="4" t="s">
        <v>1215</v>
      </c>
      <c r="H18" s="4" t="s">
        <v>1223</v>
      </c>
    </row>
    <row r="19" customFormat="false" ht="23.85" hidden="false" customHeight="false" outlineLevel="0" collapsed="false">
      <c r="A19" s="4" t="s">
        <v>1224</v>
      </c>
      <c r="B19" s="4" t="s">
        <v>1174</v>
      </c>
      <c r="C19" s="4" t="s">
        <v>1175</v>
      </c>
      <c r="D19" s="4" t="s">
        <v>1225</v>
      </c>
      <c r="E19" s="4" t="s">
        <v>1222</v>
      </c>
      <c r="F19" s="4" t="s">
        <v>1214</v>
      </c>
      <c r="G19" s="4" t="s">
        <v>1215</v>
      </c>
      <c r="H19" s="4" t="s">
        <v>1226</v>
      </c>
    </row>
    <row r="20" customFormat="false" ht="35.05" hidden="false" customHeight="false" outlineLevel="0" collapsed="false">
      <c r="A20" s="4" t="s">
        <v>1227</v>
      </c>
      <c r="B20" s="4" t="s">
        <v>1174</v>
      </c>
      <c r="C20" s="4" t="s">
        <v>1175</v>
      </c>
      <c r="D20" s="4" t="s">
        <v>1228</v>
      </c>
      <c r="E20" s="4" t="s">
        <v>1229</v>
      </c>
      <c r="F20" s="4" t="s">
        <v>1214</v>
      </c>
      <c r="G20" s="4" t="s">
        <v>1215</v>
      </c>
      <c r="H20" s="4" t="s">
        <v>1230</v>
      </c>
    </row>
    <row r="21" customFormat="false" ht="35.05" hidden="false" customHeight="false" outlineLevel="0" collapsed="false">
      <c r="A21" s="4" t="s">
        <v>150</v>
      </c>
      <c r="B21" s="4" t="s">
        <v>1174</v>
      </c>
      <c r="C21" s="4" t="s">
        <v>1175</v>
      </c>
      <c r="D21" s="4" t="s">
        <v>1231</v>
      </c>
      <c r="E21" s="4" t="s">
        <v>1177</v>
      </c>
      <c r="F21" s="4" t="s">
        <v>538</v>
      </c>
      <c r="G21" s="4" t="s">
        <v>1232</v>
      </c>
      <c r="H21" s="4" t="s">
        <v>1233</v>
      </c>
    </row>
    <row r="22" customFormat="false" ht="35.05" hidden="false" customHeight="false" outlineLevel="0" collapsed="false">
      <c r="A22" s="4" t="s">
        <v>332</v>
      </c>
      <c r="B22" s="4" t="s">
        <v>1174</v>
      </c>
      <c r="C22" s="4" t="s">
        <v>1175</v>
      </c>
      <c r="D22" s="4" t="s">
        <v>1234</v>
      </c>
      <c r="E22" s="4" t="s">
        <v>1182</v>
      </c>
      <c r="F22" s="4" t="s">
        <v>538</v>
      </c>
      <c r="G22" s="4" t="s">
        <v>1232</v>
      </c>
      <c r="H22" s="4" t="s">
        <v>1235</v>
      </c>
    </row>
    <row r="23" customFormat="false" ht="23.85" hidden="false" customHeight="false" outlineLevel="0" collapsed="false">
      <c r="A23" s="4" t="s">
        <v>1236</v>
      </c>
      <c r="B23" s="4" t="s">
        <v>1174</v>
      </c>
      <c r="C23" s="4" t="s">
        <v>1175</v>
      </c>
      <c r="D23" s="4" t="s">
        <v>1237</v>
      </c>
      <c r="E23" s="4" t="s">
        <v>1229</v>
      </c>
      <c r="F23" s="4" t="s">
        <v>538</v>
      </c>
      <c r="G23" s="4" t="s">
        <v>1232</v>
      </c>
      <c r="H23" s="4" t="s">
        <v>1238</v>
      </c>
    </row>
    <row r="24" customFormat="false" ht="35.05" hidden="false" customHeight="false" outlineLevel="0" collapsed="false">
      <c r="A24" s="4" t="s">
        <v>1239</v>
      </c>
      <c r="B24" s="4" t="s">
        <v>1174</v>
      </c>
      <c r="C24" s="4" t="s">
        <v>1175</v>
      </c>
      <c r="D24" s="4" t="s">
        <v>1240</v>
      </c>
      <c r="E24" s="4" t="s">
        <v>1241</v>
      </c>
      <c r="F24" s="4" t="s">
        <v>1178</v>
      </c>
      <c r="G24" s="4" t="s">
        <v>1179</v>
      </c>
      <c r="H24" s="4" t="s">
        <v>1242</v>
      </c>
    </row>
    <row r="25" customFormat="false" ht="46.25" hidden="false" customHeight="false" outlineLevel="0" collapsed="false">
      <c r="A25" s="4" t="s">
        <v>1243</v>
      </c>
      <c r="B25" s="4" t="s">
        <v>1174</v>
      </c>
      <c r="C25" s="4" t="s">
        <v>1175</v>
      </c>
      <c r="D25" s="4" t="s">
        <v>1244</v>
      </c>
      <c r="E25" s="4" t="s">
        <v>1241</v>
      </c>
      <c r="F25" s="4" t="s">
        <v>1186</v>
      </c>
      <c r="G25" s="4" t="s">
        <v>1187</v>
      </c>
      <c r="H25" s="4" t="s">
        <v>1245</v>
      </c>
    </row>
    <row r="26" customFormat="false" ht="35.05" hidden="false" customHeight="false" outlineLevel="0" collapsed="false">
      <c r="A26" s="4" t="s">
        <v>1246</v>
      </c>
      <c r="B26" s="4" t="s">
        <v>1174</v>
      </c>
      <c r="C26" s="4" t="s">
        <v>1175</v>
      </c>
      <c r="D26" s="4" t="s">
        <v>1247</v>
      </c>
      <c r="E26" s="4" t="s">
        <v>1241</v>
      </c>
      <c r="F26" s="4" t="s">
        <v>1194</v>
      </c>
      <c r="G26" s="4" t="s">
        <v>1195</v>
      </c>
      <c r="H26" s="4" t="s">
        <v>1248</v>
      </c>
    </row>
    <row r="27" customFormat="false" ht="46.25" hidden="false" customHeight="false" outlineLevel="0" collapsed="false">
      <c r="A27" s="4" t="s">
        <v>1249</v>
      </c>
      <c r="B27" s="4" t="s">
        <v>1174</v>
      </c>
      <c r="C27" s="4" t="s">
        <v>1175</v>
      </c>
      <c r="D27" s="4" t="s">
        <v>1250</v>
      </c>
      <c r="E27" s="4" t="s">
        <v>1241</v>
      </c>
      <c r="F27" s="4" t="s">
        <v>1201</v>
      </c>
      <c r="G27" s="4" t="s">
        <v>1202</v>
      </c>
      <c r="H27" s="4" t="s">
        <v>1251</v>
      </c>
    </row>
    <row r="28" customFormat="false" ht="35.05" hidden="false" customHeight="false" outlineLevel="0" collapsed="false">
      <c r="A28" s="4" t="s">
        <v>1252</v>
      </c>
      <c r="B28" s="4" t="s">
        <v>1174</v>
      </c>
      <c r="C28" s="4" t="s">
        <v>1175</v>
      </c>
      <c r="D28" s="4" t="s">
        <v>1253</v>
      </c>
      <c r="E28" s="4" t="s">
        <v>1241</v>
      </c>
      <c r="F28" s="4" t="s">
        <v>537</v>
      </c>
      <c r="G28" s="4" t="s">
        <v>1254</v>
      </c>
      <c r="H28" s="4" t="s">
        <v>1255</v>
      </c>
    </row>
    <row r="29" customFormat="false" ht="46.25" hidden="false" customHeight="false" outlineLevel="0" collapsed="false">
      <c r="A29" s="4" t="s">
        <v>1256</v>
      </c>
      <c r="B29" s="4" t="s">
        <v>1174</v>
      </c>
      <c r="C29" s="4" t="s">
        <v>1175</v>
      </c>
      <c r="D29" s="4" t="s">
        <v>1257</v>
      </c>
      <c r="E29" s="4" t="s">
        <v>1241</v>
      </c>
      <c r="F29" s="4" t="s">
        <v>1214</v>
      </c>
      <c r="G29" s="4" t="s">
        <v>1258</v>
      </c>
      <c r="H29" s="4" t="s">
        <v>1259</v>
      </c>
    </row>
    <row r="30" customFormat="false" ht="35.05" hidden="false" customHeight="false" outlineLevel="0" collapsed="false">
      <c r="A30" s="4" t="s">
        <v>214</v>
      </c>
      <c r="B30" s="4" t="s">
        <v>1174</v>
      </c>
      <c r="C30" s="4" t="s">
        <v>1175</v>
      </c>
      <c r="D30" s="4" t="s">
        <v>1260</v>
      </c>
      <c r="E30" s="4" t="s">
        <v>1241</v>
      </c>
      <c r="F30" s="4" t="s">
        <v>538</v>
      </c>
      <c r="G30" s="4" t="s">
        <v>1261</v>
      </c>
      <c r="H30" s="4" t="s">
        <v>1262</v>
      </c>
    </row>
    <row r="31" customFormat="false" ht="35.05" hidden="false" customHeight="false" outlineLevel="0" collapsed="false">
      <c r="A31" s="4" t="s">
        <v>1263</v>
      </c>
      <c r="B31" s="4" t="s">
        <v>1174</v>
      </c>
      <c r="C31" s="4" t="s">
        <v>1175</v>
      </c>
      <c r="D31" s="4" t="s">
        <v>1264</v>
      </c>
      <c r="E31" s="4" t="s">
        <v>1222</v>
      </c>
      <c r="F31" s="4" t="s">
        <v>1201</v>
      </c>
      <c r="G31" s="4" t="s">
        <v>1202</v>
      </c>
      <c r="H31" s="4" t="s">
        <v>1265</v>
      </c>
    </row>
    <row r="32" customFormat="false" ht="35.05" hidden="false" customHeight="false" outlineLevel="0" collapsed="false">
      <c r="A32" s="4" t="s">
        <v>900</v>
      </c>
      <c r="B32" s="4" t="s">
        <v>1266</v>
      </c>
      <c r="C32" s="4" t="s">
        <v>1267</v>
      </c>
      <c r="D32" s="4" t="s">
        <v>1268</v>
      </c>
      <c r="E32" s="4" t="s">
        <v>1269</v>
      </c>
      <c r="F32" s="4" t="s">
        <v>538</v>
      </c>
      <c r="G32" s="4" t="s">
        <v>1232</v>
      </c>
      <c r="H32" s="4" t="s">
        <v>1270</v>
      </c>
    </row>
    <row r="35" customFormat="false" ht="15" hidden="false" customHeight="false" outlineLevel="0" collapsed="false">
      <c r="A35" s="35" t="s">
        <v>1271</v>
      </c>
      <c r="B35" s="36"/>
      <c r="C35" s="36"/>
      <c r="D35" s="36"/>
      <c r="E35" s="36"/>
      <c r="F35" s="36"/>
      <c r="G35" s="36"/>
      <c r="H35" s="36"/>
    </row>
    <row r="36" customFormat="false" ht="23.85" hidden="false" customHeight="false" outlineLevel="0" collapsed="false">
      <c r="A36" s="13" t="s">
        <v>1272</v>
      </c>
      <c r="B36" s="13" t="s">
        <v>1273</v>
      </c>
      <c r="C36" s="13" t="s">
        <v>1274</v>
      </c>
      <c r="D36" s="13" t="s">
        <v>1275</v>
      </c>
      <c r="E36" s="13" t="s">
        <v>1276</v>
      </c>
    </row>
    <row r="37" customFormat="false" ht="46.25" hidden="false" customHeight="false" outlineLevel="0" collapsed="false">
      <c r="A37" s="4" t="s">
        <v>1277</v>
      </c>
      <c r="B37" s="4" t="s">
        <v>1278</v>
      </c>
      <c r="C37" s="4" t="s">
        <v>1279</v>
      </c>
      <c r="D37" s="4" t="s">
        <v>1280</v>
      </c>
      <c r="E37" s="4" t="s">
        <v>1281</v>
      </c>
    </row>
    <row r="38" customFormat="false" ht="35.05" hidden="false" customHeight="false" outlineLevel="0" collapsed="false">
      <c r="A38" s="4" t="s">
        <v>1282</v>
      </c>
      <c r="B38" s="4" t="s">
        <v>1283</v>
      </c>
      <c r="C38" s="4" t="s">
        <v>1279</v>
      </c>
      <c r="D38" s="4" t="s">
        <v>1284</v>
      </c>
      <c r="E38" s="4" t="s">
        <v>1285</v>
      </c>
    </row>
    <row r="39" customFormat="false" ht="79.85" hidden="false" customHeight="false" outlineLevel="0" collapsed="false">
      <c r="A39" s="4" t="s">
        <v>1286</v>
      </c>
      <c r="B39" s="4" t="s">
        <v>1287</v>
      </c>
      <c r="C39" s="4" t="s">
        <v>1288</v>
      </c>
      <c r="D39" s="4" t="s">
        <v>1289</v>
      </c>
      <c r="E39" s="4" t="s">
        <v>1290</v>
      </c>
    </row>
    <row r="40" customFormat="false" ht="35.05" hidden="false" customHeight="false" outlineLevel="0" collapsed="false">
      <c r="A40" s="4" t="s">
        <v>1291</v>
      </c>
      <c r="B40" s="4" t="s">
        <v>1292</v>
      </c>
      <c r="C40" s="4" t="s">
        <v>1293</v>
      </c>
      <c r="D40" s="4" t="s">
        <v>1294</v>
      </c>
      <c r="E40" s="4" t="s">
        <v>1295</v>
      </c>
    </row>
    <row r="41" customFormat="false" ht="57.45" hidden="false" customHeight="false" outlineLevel="0" collapsed="false">
      <c r="A41" s="4" t="s">
        <v>1296</v>
      </c>
      <c r="B41" s="4" t="s">
        <v>1297</v>
      </c>
      <c r="C41" s="4" t="s">
        <v>1298</v>
      </c>
      <c r="D41" s="4" t="s">
        <v>1299</v>
      </c>
      <c r="E41" s="4" t="s">
        <v>1300</v>
      </c>
    </row>
    <row r="42" customFormat="false" ht="124.6" hidden="false" customHeight="false" outlineLevel="0" collapsed="false">
      <c r="A42" s="4" t="s">
        <v>1301</v>
      </c>
      <c r="B42" s="4" t="s">
        <v>1302</v>
      </c>
      <c r="C42" s="4" t="s">
        <v>1303</v>
      </c>
      <c r="D42" s="4" t="s">
        <v>1304</v>
      </c>
      <c r="E42" s="4" t="s">
        <v>1305</v>
      </c>
    </row>
    <row r="43" customFormat="false" ht="68.65" hidden="false" customHeight="false" outlineLevel="0" collapsed="false">
      <c r="A43" s="4" t="s">
        <v>1306</v>
      </c>
      <c r="B43" s="4" t="s">
        <v>1307</v>
      </c>
      <c r="C43" s="4" t="s">
        <v>1308</v>
      </c>
      <c r="D43" s="4" t="s">
        <v>1309</v>
      </c>
      <c r="E43" s="4" t="s">
        <v>1310</v>
      </c>
    </row>
    <row r="44" customFormat="false" ht="23.85" hidden="false" customHeight="false" outlineLevel="0" collapsed="false">
      <c r="A44" s="4" t="s">
        <v>1311</v>
      </c>
      <c r="B44" s="4" t="s">
        <v>1312</v>
      </c>
      <c r="C44" s="4" t="s">
        <v>1313</v>
      </c>
      <c r="D44" s="4" t="s">
        <v>1314</v>
      </c>
      <c r="E44" s="4" t="s">
        <v>1315</v>
      </c>
    </row>
    <row r="45" customFormat="false" ht="35.05" hidden="false" customHeight="false" outlineLevel="0" collapsed="false">
      <c r="A45" s="4" t="s">
        <v>61</v>
      </c>
      <c r="B45" s="4" t="s">
        <v>1316</v>
      </c>
      <c r="C45" s="4" t="s">
        <v>1317</v>
      </c>
      <c r="D45" s="4" t="s">
        <v>1318</v>
      </c>
      <c r="E45" s="4" t="s">
        <v>1319</v>
      </c>
    </row>
    <row r="48" customFormat="false" ht="15" hidden="false" customHeight="false" outlineLevel="0" collapsed="false">
      <c r="A48" s="35" t="s">
        <v>1320</v>
      </c>
      <c r="B48" s="36"/>
      <c r="C48" s="36"/>
      <c r="D48" s="36"/>
      <c r="E48" s="36"/>
      <c r="F48" s="36"/>
      <c r="G48" s="36"/>
      <c r="H48" s="36"/>
    </row>
    <row r="49" customFormat="false" ht="15" hidden="false" customHeight="false" outlineLevel="0" collapsed="false">
      <c r="A49" s="13" t="s">
        <v>70</v>
      </c>
      <c r="B49" s="13" t="s">
        <v>181</v>
      </c>
      <c r="C49" s="13" t="s">
        <v>187</v>
      </c>
      <c r="D49" s="13" t="s">
        <v>188</v>
      </c>
      <c r="E49" s="13" t="s">
        <v>1321</v>
      </c>
    </row>
    <row r="50" customFormat="false" ht="91" hidden="false" customHeight="false" outlineLevel="0" collapsed="false">
      <c r="A50" s="4" t="s">
        <v>148</v>
      </c>
      <c r="B50" s="4" t="s">
        <v>1322</v>
      </c>
      <c r="C50" s="4" t="s">
        <v>1217</v>
      </c>
      <c r="D50" s="4" t="s">
        <v>1323</v>
      </c>
      <c r="E50" s="4" t="s">
        <v>1324</v>
      </c>
    </row>
    <row r="53" customFormat="false" ht="15" hidden="false" customHeight="false" outlineLevel="0" collapsed="false">
      <c r="A53" s="35" t="s">
        <v>1325</v>
      </c>
      <c r="B53" s="36"/>
      <c r="C53" s="36"/>
      <c r="D53" s="36"/>
      <c r="E53" s="36"/>
      <c r="F53" s="36"/>
      <c r="G53" s="36"/>
      <c r="H53" s="36"/>
    </row>
    <row r="54" customFormat="false" ht="15" hidden="false" customHeight="false" outlineLevel="0" collapsed="false">
      <c r="A54" s="13" t="s">
        <v>1326</v>
      </c>
      <c r="B54" s="13" t="s">
        <v>1327</v>
      </c>
      <c r="C54" s="13" t="s">
        <v>1328</v>
      </c>
      <c r="D54" s="13" t="s">
        <v>1329</v>
      </c>
      <c r="E54" s="13" t="s">
        <v>1330</v>
      </c>
      <c r="F54" s="13" t="s">
        <v>1331</v>
      </c>
    </row>
    <row r="55" customFormat="false" ht="68.65" hidden="false" customHeight="false" outlineLevel="0" collapsed="false">
      <c r="A55" s="4" t="s">
        <v>1332</v>
      </c>
      <c r="B55" s="4" t="s">
        <v>1333</v>
      </c>
      <c r="C55" s="4" t="s">
        <v>1334</v>
      </c>
      <c r="D55" s="4" t="s">
        <v>1335</v>
      </c>
      <c r="E55" s="4" t="s">
        <v>1336</v>
      </c>
      <c r="F55" s="4" t="s">
        <v>1337</v>
      </c>
    </row>
    <row r="56" customFormat="false" ht="147" hidden="false" customHeight="false" outlineLevel="0" collapsed="false">
      <c r="A56" s="4" t="s">
        <v>1338</v>
      </c>
      <c r="B56" s="4" t="s">
        <v>1339</v>
      </c>
      <c r="C56" s="4" t="s">
        <v>1340</v>
      </c>
      <c r="D56" s="4" t="s">
        <v>1341</v>
      </c>
      <c r="E56" s="4" t="s">
        <v>1342</v>
      </c>
      <c r="F56" s="4" t="s">
        <v>1343</v>
      </c>
    </row>
    <row r="57" customFormat="false" ht="102.2" hidden="false" customHeight="false" outlineLevel="0" collapsed="false">
      <c r="A57" s="4" t="s">
        <v>1344</v>
      </c>
      <c r="B57" s="4" t="s">
        <v>1345</v>
      </c>
      <c r="C57" s="4" t="s">
        <v>1346</v>
      </c>
      <c r="D57" s="4" t="s">
        <v>1347</v>
      </c>
      <c r="E57" s="4" t="s">
        <v>1342</v>
      </c>
      <c r="F57" s="4" t="s">
        <v>1348</v>
      </c>
    </row>
    <row r="58" customFormat="false" ht="35.05" hidden="false" customHeight="false" outlineLevel="0" collapsed="false">
      <c r="A58" s="4" t="s">
        <v>1349</v>
      </c>
      <c r="B58" s="4" t="s">
        <v>1350</v>
      </c>
      <c r="C58" s="4" t="s">
        <v>1351</v>
      </c>
      <c r="D58" s="4" t="s">
        <v>1352</v>
      </c>
      <c r="E58" s="4" t="s">
        <v>1353</v>
      </c>
      <c r="F58" s="4" t="s">
        <v>1354</v>
      </c>
    </row>
    <row r="59" customFormat="false" ht="46.25" hidden="false" customHeight="false" outlineLevel="0" collapsed="false">
      <c r="A59" s="4" t="s">
        <v>1355</v>
      </c>
      <c r="B59" s="4" t="s">
        <v>1356</v>
      </c>
      <c r="C59" s="4" t="s">
        <v>1357</v>
      </c>
      <c r="D59" s="4" t="s">
        <v>1358</v>
      </c>
      <c r="E59" s="4" t="s">
        <v>1342</v>
      </c>
      <c r="F59" s="4" t="s">
        <v>1359</v>
      </c>
    </row>
    <row r="60" customFormat="false" ht="68.65" hidden="false" customHeight="false" outlineLevel="0" collapsed="false">
      <c r="A60" s="4" t="s">
        <v>1360</v>
      </c>
      <c r="B60" s="4" t="s">
        <v>1361</v>
      </c>
      <c r="C60" s="4" t="s">
        <v>1362</v>
      </c>
      <c r="D60" s="4" t="s">
        <v>1363</v>
      </c>
      <c r="E60" s="4" t="s">
        <v>1342</v>
      </c>
      <c r="F60" s="4" t="s">
        <v>1364</v>
      </c>
    </row>
    <row r="61" customFormat="false" ht="46.25" hidden="false" customHeight="false" outlineLevel="0" collapsed="false">
      <c r="A61" s="4" t="s">
        <v>1365</v>
      </c>
      <c r="B61" s="4" t="s">
        <v>1366</v>
      </c>
      <c r="C61" s="4" t="s">
        <v>1367</v>
      </c>
      <c r="D61" s="4" t="s">
        <v>1368</v>
      </c>
      <c r="E61" s="4" t="s">
        <v>1342</v>
      </c>
      <c r="F61" s="4" t="s">
        <v>1369</v>
      </c>
    </row>
    <row r="62" customFormat="false" ht="46.25" hidden="false" customHeight="false" outlineLevel="0" collapsed="false">
      <c r="A62" s="4" t="s">
        <v>1370</v>
      </c>
      <c r="B62" s="4" t="s">
        <v>1371</v>
      </c>
      <c r="C62" s="4" t="s">
        <v>1372</v>
      </c>
      <c r="D62" s="4" t="s">
        <v>1373</v>
      </c>
      <c r="E62" s="4" t="s">
        <v>1342</v>
      </c>
      <c r="F62" s="4" t="s">
        <v>1374</v>
      </c>
    </row>
    <row r="63" customFormat="false" ht="46.25" hidden="false" customHeight="false" outlineLevel="0" collapsed="false">
      <c r="A63" s="4" t="s">
        <v>1375</v>
      </c>
      <c r="B63" s="4" t="s">
        <v>1376</v>
      </c>
      <c r="C63" s="4" t="s">
        <v>1377</v>
      </c>
      <c r="D63" s="4" t="s">
        <v>1378</v>
      </c>
      <c r="E63" s="4" t="s">
        <v>1342</v>
      </c>
      <c r="F63" s="4" t="s">
        <v>1379</v>
      </c>
    </row>
    <row r="64" customFormat="false" ht="68.65" hidden="false" customHeight="false" outlineLevel="0" collapsed="false">
      <c r="A64" s="4" t="s">
        <v>1380</v>
      </c>
      <c r="B64" s="4" t="s">
        <v>1381</v>
      </c>
      <c r="C64" s="4" t="s">
        <v>1382</v>
      </c>
      <c r="D64" s="4" t="s">
        <v>1383</v>
      </c>
      <c r="E64" s="4" t="s">
        <v>1342</v>
      </c>
      <c r="F64" s="4" t="s">
        <v>1384</v>
      </c>
    </row>
    <row r="65" customFormat="false" ht="46.25" hidden="false" customHeight="false" outlineLevel="0" collapsed="false">
      <c r="A65" s="4" t="s">
        <v>1385</v>
      </c>
      <c r="B65" s="4" t="s">
        <v>1386</v>
      </c>
      <c r="C65" s="4" t="s">
        <v>1387</v>
      </c>
      <c r="D65" s="4" t="s">
        <v>1388</v>
      </c>
      <c r="E65" s="4" t="s">
        <v>1342</v>
      </c>
      <c r="F65" s="4" t="s">
        <v>1389</v>
      </c>
    </row>
    <row r="66" customFormat="false" ht="57.45" hidden="false" customHeight="false" outlineLevel="0" collapsed="false">
      <c r="A66" s="4" t="s">
        <v>1390</v>
      </c>
      <c r="B66" s="4" t="s">
        <v>1391</v>
      </c>
      <c r="C66" s="4" t="s">
        <v>1392</v>
      </c>
      <c r="D66" s="4" t="s">
        <v>1393</v>
      </c>
      <c r="E66" s="4" t="s">
        <v>1342</v>
      </c>
      <c r="F66" s="4" t="s">
        <v>1394</v>
      </c>
    </row>
    <row r="67" customFormat="false" ht="46.25" hidden="false" customHeight="false" outlineLevel="0" collapsed="false">
      <c r="A67" s="4" t="s">
        <v>1395</v>
      </c>
      <c r="B67" s="4" t="s">
        <v>1396</v>
      </c>
      <c r="C67" s="4" t="s">
        <v>1397</v>
      </c>
      <c r="D67" s="4" t="s">
        <v>1398</v>
      </c>
      <c r="E67" s="4" t="s">
        <v>1342</v>
      </c>
      <c r="F67" s="4" t="s">
        <v>1399</v>
      </c>
    </row>
    <row r="70" customFormat="false" ht="15" hidden="false" customHeight="false" outlineLevel="0" collapsed="false">
      <c r="A70" s="35" t="s">
        <v>1400</v>
      </c>
      <c r="B70" s="36"/>
      <c r="C70" s="36"/>
      <c r="D70" s="36"/>
      <c r="E70" s="36"/>
      <c r="F70" s="36"/>
      <c r="G70" s="36"/>
      <c r="H70" s="36"/>
    </row>
    <row r="71" customFormat="false" ht="23.85" hidden="false" customHeight="false" outlineLevel="0" collapsed="false">
      <c r="A71" s="13" t="s">
        <v>1401</v>
      </c>
      <c r="B71" s="13" t="s">
        <v>1402</v>
      </c>
      <c r="C71" s="13" t="s">
        <v>1403</v>
      </c>
      <c r="D71" s="13" t="s">
        <v>1404</v>
      </c>
      <c r="E71" s="13" t="s">
        <v>1405</v>
      </c>
      <c r="F71" s="13" t="s">
        <v>1406</v>
      </c>
      <c r="G71" s="13" t="s">
        <v>1407</v>
      </c>
    </row>
    <row r="72" customFormat="false" ht="46.25" hidden="false" customHeight="false" outlineLevel="0" collapsed="false">
      <c r="A72" s="4" t="s">
        <v>461</v>
      </c>
      <c r="B72" s="4" t="s">
        <v>1408</v>
      </c>
      <c r="C72" s="4" t="s">
        <v>1409</v>
      </c>
      <c r="D72" s="4" t="s">
        <v>1410</v>
      </c>
      <c r="E72" s="4" t="s">
        <v>1411</v>
      </c>
      <c r="F72" s="4" t="s">
        <v>1412</v>
      </c>
      <c r="G72" s="4" t="s">
        <v>1413</v>
      </c>
    </row>
    <row r="73" customFormat="false" ht="46.25" hidden="false" customHeight="false" outlineLevel="0" collapsed="false">
      <c r="A73" s="4" t="s">
        <v>465</v>
      </c>
      <c r="B73" s="4" t="s">
        <v>1408</v>
      </c>
      <c r="C73" s="4" t="s">
        <v>1414</v>
      </c>
      <c r="D73" s="4" t="s">
        <v>1415</v>
      </c>
      <c r="E73" s="4" t="s">
        <v>1416</v>
      </c>
      <c r="F73" s="4" t="s">
        <v>1417</v>
      </c>
      <c r="G73" s="4" t="s">
        <v>1418</v>
      </c>
    </row>
    <row r="74" customFormat="false" ht="79.85" hidden="false" customHeight="false" outlineLevel="0" collapsed="false">
      <c r="A74" s="4" t="s">
        <v>456</v>
      </c>
      <c r="B74" s="4" t="s">
        <v>1408</v>
      </c>
      <c r="C74" s="4" t="s">
        <v>1419</v>
      </c>
      <c r="D74" s="4" t="s">
        <v>1420</v>
      </c>
      <c r="E74" s="4" t="s">
        <v>1421</v>
      </c>
      <c r="F74" s="4" t="s">
        <v>1422</v>
      </c>
      <c r="G74" s="4" t="s">
        <v>1423</v>
      </c>
    </row>
    <row r="75" customFormat="false" ht="35.05" hidden="false" customHeight="false" outlineLevel="0" collapsed="false">
      <c r="A75" s="4" t="s">
        <v>1424</v>
      </c>
      <c r="B75" s="4" t="s">
        <v>1425</v>
      </c>
      <c r="C75" s="4" t="s">
        <v>1426</v>
      </c>
      <c r="D75" s="4" t="s">
        <v>1427</v>
      </c>
      <c r="E75" s="4" t="s">
        <v>1416</v>
      </c>
      <c r="F75" s="4" t="s">
        <v>1428</v>
      </c>
      <c r="G75" s="4" t="s">
        <v>1429</v>
      </c>
    </row>
    <row r="76" customFormat="false" ht="135.8" hidden="false" customHeight="false" outlineLevel="0" collapsed="false">
      <c r="A76" s="4" t="s">
        <v>446</v>
      </c>
      <c r="B76" s="4" t="s">
        <v>1408</v>
      </c>
      <c r="C76" s="4" t="s">
        <v>1430</v>
      </c>
      <c r="D76" s="4" t="s">
        <v>1431</v>
      </c>
      <c r="E76" s="4" t="s">
        <v>1432</v>
      </c>
      <c r="F76" s="4" t="s">
        <v>1433</v>
      </c>
      <c r="G76" s="4" t="s">
        <v>1434</v>
      </c>
    </row>
    <row r="77" customFormat="false" ht="124.6" hidden="false" customHeight="false" outlineLevel="0" collapsed="false">
      <c r="A77" s="4" t="s">
        <v>468</v>
      </c>
      <c r="B77" s="4" t="s">
        <v>1435</v>
      </c>
      <c r="C77" s="4" t="s">
        <v>1436</v>
      </c>
      <c r="D77" s="4" t="s">
        <v>1437</v>
      </c>
      <c r="E77" s="4" t="s">
        <v>1438</v>
      </c>
      <c r="F77" s="4" t="s">
        <v>1439</v>
      </c>
      <c r="G77" s="4" t="s">
        <v>1440</v>
      </c>
    </row>
    <row r="78" customFormat="false" ht="79.85" hidden="false" customHeight="false" outlineLevel="0" collapsed="false">
      <c r="A78" s="4" t="s">
        <v>1441</v>
      </c>
      <c r="B78" s="4" t="s">
        <v>1442</v>
      </c>
      <c r="C78" s="4" t="s">
        <v>1443</v>
      </c>
      <c r="D78" s="4" t="s">
        <v>1444</v>
      </c>
      <c r="E78" s="4" t="s">
        <v>1445</v>
      </c>
      <c r="F78" s="4" t="s">
        <v>1446</v>
      </c>
      <c r="G78" s="4" t="s">
        <v>1447</v>
      </c>
    </row>
    <row r="79" customFormat="false" ht="46.25" hidden="false" customHeight="false" outlineLevel="0" collapsed="false">
      <c r="A79" s="4" t="s">
        <v>1448</v>
      </c>
      <c r="B79" s="4" t="s">
        <v>1449</v>
      </c>
      <c r="C79" s="4" t="s">
        <v>1450</v>
      </c>
      <c r="D79" s="4" t="s">
        <v>1451</v>
      </c>
      <c r="E79" s="4" t="s">
        <v>1452</v>
      </c>
      <c r="F79" s="4" t="s">
        <v>1453</v>
      </c>
      <c r="G79" s="4" t="s">
        <v>1454</v>
      </c>
    </row>
    <row r="80" customFormat="false" ht="46.25" hidden="false" customHeight="false" outlineLevel="0" collapsed="false">
      <c r="A80" s="4" t="s">
        <v>1455</v>
      </c>
      <c r="B80" s="4" t="s">
        <v>1456</v>
      </c>
      <c r="C80" s="4" t="s">
        <v>1457</v>
      </c>
      <c r="D80" s="4" t="s">
        <v>1458</v>
      </c>
      <c r="E80" s="4" t="s">
        <v>1459</v>
      </c>
      <c r="F80" s="4" t="s">
        <v>1460</v>
      </c>
      <c r="G80" s="4" t="s">
        <v>1461</v>
      </c>
    </row>
    <row r="81" customFormat="false" ht="57.45" hidden="false" customHeight="false" outlineLevel="0" collapsed="false">
      <c r="A81" s="4" t="s">
        <v>1462</v>
      </c>
      <c r="B81" s="4" t="s">
        <v>1463</v>
      </c>
      <c r="C81" s="4" t="s">
        <v>1464</v>
      </c>
      <c r="D81" s="4" t="s">
        <v>1465</v>
      </c>
      <c r="E81" s="4" t="s">
        <v>1466</v>
      </c>
      <c r="F81" s="4" t="s">
        <v>1467</v>
      </c>
      <c r="G81" s="4" t="s">
        <v>1468</v>
      </c>
    </row>
    <row r="82" customFormat="false" ht="91" hidden="false" customHeight="false" outlineLevel="0" collapsed="false">
      <c r="A82" s="4" t="s">
        <v>458</v>
      </c>
      <c r="B82" s="4" t="s">
        <v>1408</v>
      </c>
      <c r="C82" s="4" t="s">
        <v>1469</v>
      </c>
      <c r="D82" s="4" t="s">
        <v>1470</v>
      </c>
      <c r="E82" s="4" t="s">
        <v>1471</v>
      </c>
      <c r="F82" s="4" t="s">
        <v>1472</v>
      </c>
      <c r="G82" s="4" t="s">
        <v>1473</v>
      </c>
    </row>
    <row r="85" customFormat="false" ht="15" hidden="false" customHeight="false" outlineLevel="0" collapsed="false">
      <c r="A85" s="35" t="s">
        <v>1474</v>
      </c>
      <c r="B85" s="36"/>
      <c r="C85" s="36"/>
      <c r="D85" s="36"/>
      <c r="E85" s="36"/>
      <c r="F85" s="36"/>
      <c r="G85" s="36"/>
      <c r="H85" s="36"/>
    </row>
    <row r="86" customFormat="false" ht="15" hidden="false" customHeight="false" outlineLevel="0" collapsed="false">
      <c r="A86" s="13" t="s">
        <v>1475</v>
      </c>
      <c r="B86" s="13" t="s">
        <v>1476</v>
      </c>
      <c r="C86" s="13" t="s">
        <v>1477</v>
      </c>
      <c r="D86" s="13" t="s">
        <v>1478</v>
      </c>
      <c r="E86" s="13" t="s">
        <v>1479</v>
      </c>
    </row>
    <row r="87" customFormat="false" ht="15" hidden="false" customHeight="false" outlineLevel="0" collapsed="false">
      <c r="A87" s="4" t="s">
        <v>1480</v>
      </c>
      <c r="B87" s="4" t="s">
        <v>1481</v>
      </c>
      <c r="C87" s="4" t="n">
        <v>120</v>
      </c>
      <c r="D87" s="4" t="n">
        <v>0</v>
      </c>
      <c r="E87" s="4" t="n">
        <v>0</v>
      </c>
    </row>
    <row r="88" customFormat="false" ht="15" hidden="false" customHeight="false" outlineLevel="0" collapsed="false">
      <c r="A88" s="4" t="s">
        <v>1482</v>
      </c>
      <c r="B88" s="4" t="s">
        <v>1483</v>
      </c>
      <c r="C88" s="4" t="n">
        <v>36</v>
      </c>
      <c r="D88" s="4" t="n">
        <v>0</v>
      </c>
      <c r="E88" s="4" t="n">
        <v>0</v>
      </c>
    </row>
    <row r="89" customFormat="false" ht="15" hidden="false" customHeight="false" outlineLevel="0" collapsed="false">
      <c r="A89" s="4" t="s">
        <v>1484</v>
      </c>
      <c r="B89" s="4" t="s">
        <v>1485</v>
      </c>
      <c r="C89" s="4" t="n">
        <v>35</v>
      </c>
      <c r="D89" s="4" t="n">
        <v>0</v>
      </c>
      <c r="E89" s="4" t="n">
        <v>0</v>
      </c>
    </row>
    <row r="90" customFormat="false" ht="15" hidden="false" customHeight="false" outlineLevel="0" collapsed="false">
      <c r="A90" s="4" t="s">
        <v>1486</v>
      </c>
      <c r="B90" s="4" t="s">
        <v>1487</v>
      </c>
      <c r="C90" s="4" t="n">
        <v>35</v>
      </c>
      <c r="D90" s="4" t="n">
        <v>0</v>
      </c>
      <c r="E90" s="4" t="n">
        <v>0</v>
      </c>
    </row>
    <row r="91" customFormat="false" ht="15" hidden="false" customHeight="false" outlineLevel="0" collapsed="false">
      <c r="A91" s="4" t="s">
        <v>1488</v>
      </c>
      <c r="B91" s="4" t="s">
        <v>1489</v>
      </c>
      <c r="C91" s="4" t="n">
        <v>12</v>
      </c>
      <c r="D91" s="4" t="n">
        <v>0</v>
      </c>
      <c r="E91" s="4" t="n">
        <v>0</v>
      </c>
    </row>
    <row r="92" customFormat="false" ht="15" hidden="false" customHeight="false" outlineLevel="0" collapsed="false">
      <c r="A92" s="4" t="s">
        <v>1490</v>
      </c>
      <c r="B92" s="4" t="s">
        <v>1491</v>
      </c>
      <c r="C92" s="4" t="n">
        <v>27</v>
      </c>
      <c r="D92" s="4" t="n">
        <v>0</v>
      </c>
      <c r="E92" s="4" t="n">
        <v>0</v>
      </c>
    </row>
    <row r="93" customFormat="false" ht="15" hidden="false" customHeight="false" outlineLevel="0" collapsed="false">
      <c r="A93" s="4" t="s">
        <v>1492</v>
      </c>
      <c r="B93" s="4" t="s">
        <v>1493</v>
      </c>
      <c r="C93" s="4" t="n">
        <v>10</v>
      </c>
      <c r="D93" s="4" t="n">
        <v>0</v>
      </c>
      <c r="E93" s="4" t="n">
        <v>0</v>
      </c>
    </row>
    <row r="94" customFormat="false" ht="15" hidden="false" customHeight="false" outlineLevel="0" collapsed="false">
      <c r="A94" s="4" t="s">
        <v>1494</v>
      </c>
      <c r="B94" s="4" t="s">
        <v>1495</v>
      </c>
      <c r="C94" s="4" t="n">
        <v>20</v>
      </c>
      <c r="D94" s="4" t="n">
        <v>0</v>
      </c>
      <c r="E94" s="4" t="n">
        <v>0</v>
      </c>
    </row>
    <row r="95" customFormat="false" ht="15" hidden="false" customHeight="false" outlineLevel="0" collapsed="false">
      <c r="A95" s="4" t="s">
        <v>1496</v>
      </c>
      <c r="B95" s="4" t="s">
        <v>1497</v>
      </c>
      <c r="C95" s="4" t="n">
        <v>8</v>
      </c>
      <c r="D95" s="4" t="n">
        <v>0</v>
      </c>
      <c r="E95" s="4" t="n">
        <v>0</v>
      </c>
    </row>
    <row r="96" customFormat="false" ht="15" hidden="false" customHeight="false" outlineLevel="0" collapsed="false">
      <c r="A96" s="4" t="s">
        <v>1498</v>
      </c>
      <c r="B96" s="4" t="s">
        <v>1499</v>
      </c>
      <c r="C96" s="4" t="n">
        <v>1</v>
      </c>
      <c r="D96" s="4" t="n">
        <v>0</v>
      </c>
      <c r="E96" s="4" t="n">
        <v>0</v>
      </c>
    </row>
    <row r="97" customFormat="false" ht="15" hidden="false" customHeight="false" outlineLevel="0" collapsed="false">
      <c r="A97" s="4" t="s">
        <v>1500</v>
      </c>
      <c r="B97" s="4" t="s">
        <v>1501</v>
      </c>
      <c r="C97" s="4" t="n">
        <v>1</v>
      </c>
      <c r="D97" s="4" t="n">
        <v>0</v>
      </c>
      <c r="E97" s="4" t="n">
        <v>0</v>
      </c>
    </row>
    <row r="98" customFormat="false" ht="23.85" hidden="false" customHeight="false" outlineLevel="0" collapsed="false">
      <c r="A98" s="4" t="s">
        <v>1502</v>
      </c>
      <c r="B98" s="4" t="s">
        <v>1503</v>
      </c>
      <c r="C98" s="4" t="n">
        <v>0</v>
      </c>
      <c r="D98" s="4" t="n">
        <v>0</v>
      </c>
      <c r="E98" s="4" t="n">
        <v>16</v>
      </c>
    </row>
    <row r="99" customFormat="false" ht="23.85" hidden="false" customHeight="false" outlineLevel="0" collapsed="false">
      <c r="A99" s="4" t="s">
        <v>1504</v>
      </c>
      <c r="B99" s="4" t="s">
        <v>1505</v>
      </c>
      <c r="C99" s="4" t="n">
        <v>0</v>
      </c>
      <c r="D99" s="4" t="n">
        <v>0</v>
      </c>
      <c r="E99" s="4" t="n">
        <v>10</v>
      </c>
    </row>
    <row r="100" customFormat="false" ht="23.85" hidden="false" customHeight="false" outlineLevel="0" collapsed="false">
      <c r="A100" s="4" t="s">
        <v>1506</v>
      </c>
      <c r="B100" s="4" t="s">
        <v>1507</v>
      </c>
      <c r="C100" s="4" t="n">
        <v>1</v>
      </c>
      <c r="D100" s="4" t="n">
        <v>0</v>
      </c>
      <c r="E100" s="4" t="n">
        <v>0</v>
      </c>
    </row>
    <row r="101" customFormat="false" ht="23.85" hidden="false" customHeight="false" outlineLevel="0" collapsed="false">
      <c r="A101" s="4" t="s">
        <v>1508</v>
      </c>
      <c r="B101" s="4" t="s">
        <v>1509</v>
      </c>
      <c r="C101" s="4" t="n">
        <v>1</v>
      </c>
      <c r="D101" s="4" t="n">
        <v>0</v>
      </c>
      <c r="E101" s="4" t="n">
        <v>0</v>
      </c>
    </row>
    <row r="102" customFormat="false" ht="23.85" hidden="false" customHeight="false" outlineLevel="0" collapsed="false">
      <c r="A102" s="4" t="s">
        <v>1510</v>
      </c>
      <c r="B102" s="4" t="s">
        <v>1511</v>
      </c>
      <c r="C102" s="4" t="n">
        <v>3</v>
      </c>
      <c r="D102" s="4" t="n">
        <v>0</v>
      </c>
      <c r="E102" s="4" t="n">
        <v>0</v>
      </c>
    </row>
    <row r="103" customFormat="false" ht="15" hidden="false" customHeight="false" outlineLevel="0" collapsed="false">
      <c r="A103" s="4" t="s">
        <v>1512</v>
      </c>
      <c r="B103" s="4" t="s">
        <v>1513</v>
      </c>
      <c r="C103" s="4" t="n">
        <v>7</v>
      </c>
      <c r="D103" s="4" t="n">
        <v>0</v>
      </c>
      <c r="E103" s="4" t="n">
        <v>0</v>
      </c>
    </row>
    <row r="104" customFormat="false" ht="23.85" hidden="false" customHeight="false" outlineLevel="0" collapsed="false">
      <c r="A104" s="4" t="s">
        <v>1514</v>
      </c>
      <c r="B104" s="4" t="s">
        <v>1515</v>
      </c>
      <c r="C104" s="4" t="n">
        <v>7</v>
      </c>
      <c r="D104" s="4" t="n">
        <v>0</v>
      </c>
      <c r="E104" s="4" t="n">
        <v>0</v>
      </c>
    </row>
    <row r="105" customFormat="false" ht="23.85" hidden="false" customHeight="false" outlineLevel="0" collapsed="false">
      <c r="A105" s="4" t="s">
        <v>1516</v>
      </c>
      <c r="B105" s="4" t="s">
        <v>1517</v>
      </c>
      <c r="C105" s="4" t="n">
        <v>3</v>
      </c>
      <c r="D105" s="4" t="n">
        <v>0</v>
      </c>
      <c r="E105" s="4" t="n">
        <v>0</v>
      </c>
    </row>
    <row r="106" customFormat="false" ht="23.85" hidden="false" customHeight="false" outlineLevel="0" collapsed="false">
      <c r="A106" s="4" t="s">
        <v>1518</v>
      </c>
      <c r="B106" s="4" t="s">
        <v>1519</v>
      </c>
      <c r="C106" s="4" t="n">
        <v>7</v>
      </c>
      <c r="D106" s="4" t="n">
        <v>0</v>
      </c>
      <c r="E106" s="4" t="n">
        <v>0</v>
      </c>
    </row>
    <row r="107" customFormat="false" ht="23.85" hidden="false" customHeight="false" outlineLevel="0" collapsed="false">
      <c r="A107" s="4" t="s">
        <v>1520</v>
      </c>
      <c r="B107" s="4" t="s">
        <v>1521</v>
      </c>
      <c r="C107" s="4" t="n">
        <v>1</v>
      </c>
      <c r="D107" s="4" t="n">
        <v>0</v>
      </c>
      <c r="E107" s="4" t="n">
        <v>0</v>
      </c>
    </row>
    <row r="108" customFormat="false" ht="23.85" hidden="false" customHeight="false" outlineLevel="0" collapsed="false">
      <c r="A108" s="4" t="s">
        <v>1522</v>
      </c>
      <c r="B108" s="4" t="s">
        <v>1523</v>
      </c>
      <c r="C108" s="4" t="n">
        <v>7</v>
      </c>
      <c r="D108" s="4" t="n">
        <v>0</v>
      </c>
      <c r="E108" s="4" t="n">
        <v>0</v>
      </c>
    </row>
    <row r="109" customFormat="false" ht="35.05" hidden="false" customHeight="false" outlineLevel="0" collapsed="false">
      <c r="A109" s="4" t="s">
        <v>1524</v>
      </c>
      <c r="B109" s="4" t="s">
        <v>1525</v>
      </c>
      <c r="C109" s="4" t="n">
        <v>3</v>
      </c>
      <c r="D109" s="4" t="n">
        <v>0</v>
      </c>
      <c r="E109" s="4" t="n">
        <v>0</v>
      </c>
    </row>
    <row r="110" customFormat="false" ht="23.85" hidden="false" customHeight="false" outlineLevel="0" collapsed="false">
      <c r="A110" s="4" t="s">
        <v>1526</v>
      </c>
      <c r="B110" s="4" t="s">
        <v>1527</v>
      </c>
      <c r="C110" s="4" t="n">
        <v>4</v>
      </c>
      <c r="D110" s="4" t="n">
        <v>0</v>
      </c>
      <c r="E110" s="4" t="n">
        <v>0</v>
      </c>
    </row>
    <row r="111" customFormat="false" ht="23.85" hidden="false" customHeight="false" outlineLevel="0" collapsed="false">
      <c r="A111" s="4" t="s">
        <v>1528</v>
      </c>
      <c r="B111" s="4" t="s">
        <v>1529</v>
      </c>
      <c r="C111" s="4" t="n">
        <v>7</v>
      </c>
      <c r="D111" s="4" t="n">
        <v>0</v>
      </c>
      <c r="E111" s="4" t="n">
        <v>0</v>
      </c>
    </row>
    <row r="112" customFormat="false" ht="15" hidden="false" customHeight="false" outlineLevel="0" collapsed="false">
      <c r="A112" s="4" t="s">
        <v>1530</v>
      </c>
      <c r="B112" s="4" t="s">
        <v>1531</v>
      </c>
      <c r="C112" s="4" t="n">
        <v>4</v>
      </c>
      <c r="D112" s="4" t="n">
        <v>0</v>
      </c>
      <c r="E112" s="4" t="n">
        <v>0</v>
      </c>
    </row>
    <row r="113" customFormat="false" ht="23.85" hidden="false" customHeight="false" outlineLevel="0" collapsed="false">
      <c r="A113" s="4" t="s">
        <v>1532</v>
      </c>
      <c r="B113" s="4" t="s">
        <v>1533</v>
      </c>
      <c r="C113" s="4" t="n">
        <v>5</v>
      </c>
      <c r="D113" s="4" t="n">
        <v>0</v>
      </c>
      <c r="E113" s="4" t="n">
        <v>0</v>
      </c>
    </row>
    <row r="114" customFormat="false" ht="23.85" hidden="false" customHeight="false" outlineLevel="0" collapsed="false">
      <c r="A114" s="4" t="s">
        <v>1534</v>
      </c>
      <c r="B114" s="4" t="s">
        <v>1535</v>
      </c>
      <c r="C114" s="4" t="n">
        <v>14</v>
      </c>
      <c r="D114" s="4" t="n">
        <v>0</v>
      </c>
      <c r="E114" s="4" t="n">
        <v>0</v>
      </c>
    </row>
    <row r="115" customFormat="false" ht="35.05" hidden="false" customHeight="false" outlineLevel="0" collapsed="false">
      <c r="A115" s="4" t="s">
        <v>1536</v>
      </c>
      <c r="B115" s="4" t="s">
        <v>1537</v>
      </c>
      <c r="C115" s="4" t="n">
        <v>7</v>
      </c>
      <c r="D115" s="4" t="n">
        <v>0</v>
      </c>
      <c r="E115" s="4" t="n">
        <v>0</v>
      </c>
    </row>
    <row r="116" customFormat="false" ht="23.85" hidden="false" customHeight="false" outlineLevel="0" collapsed="false">
      <c r="A116" s="4" t="s">
        <v>1538</v>
      </c>
      <c r="B116" s="4" t="s">
        <v>1539</v>
      </c>
      <c r="C116" s="4" t="n">
        <v>3</v>
      </c>
      <c r="D116" s="4" t="n">
        <v>0</v>
      </c>
      <c r="E116" s="4" t="n">
        <v>0</v>
      </c>
    </row>
    <row r="117" customFormat="false" ht="23.85" hidden="false" customHeight="false" outlineLevel="0" collapsed="false">
      <c r="A117" s="4" t="s">
        <v>1540</v>
      </c>
      <c r="B117" s="4" t="s">
        <v>1541</v>
      </c>
      <c r="C117" s="4" t="n">
        <v>4</v>
      </c>
      <c r="D117" s="4" t="n">
        <v>0</v>
      </c>
      <c r="E117" s="4" t="n">
        <v>0</v>
      </c>
    </row>
    <row r="118" customFormat="false" ht="23.85" hidden="false" customHeight="false" outlineLevel="0" collapsed="false">
      <c r="A118" s="4" t="s">
        <v>1542</v>
      </c>
      <c r="B118" s="4" t="s">
        <v>1543</v>
      </c>
      <c r="C118" s="4" t="n">
        <v>5</v>
      </c>
      <c r="D118" s="4" t="n">
        <v>0</v>
      </c>
      <c r="E118" s="4" t="n">
        <v>0</v>
      </c>
    </row>
    <row r="119" customFormat="false" ht="23.85" hidden="false" customHeight="false" outlineLevel="0" collapsed="false">
      <c r="A119" s="4" t="s">
        <v>1544</v>
      </c>
      <c r="B119" s="4" t="s">
        <v>1545</v>
      </c>
      <c r="C119" s="4" t="n">
        <v>5</v>
      </c>
      <c r="D119" s="4" t="n">
        <v>0</v>
      </c>
      <c r="E119" s="4" t="n">
        <v>0</v>
      </c>
    </row>
    <row r="120" customFormat="false" ht="23.85" hidden="false" customHeight="false" outlineLevel="0" collapsed="false">
      <c r="A120" s="4" t="s">
        <v>1546</v>
      </c>
      <c r="B120" s="4" t="s">
        <v>1547</v>
      </c>
      <c r="C120" s="4" t="n">
        <v>5</v>
      </c>
      <c r="D120" s="4" t="n">
        <v>0</v>
      </c>
      <c r="E120" s="4" t="n">
        <v>0</v>
      </c>
    </row>
    <row r="121" customFormat="false" ht="23.85" hidden="false" customHeight="false" outlineLevel="0" collapsed="false">
      <c r="A121" s="4" t="s">
        <v>1548</v>
      </c>
      <c r="B121" s="4" t="s">
        <v>1549</v>
      </c>
      <c r="C121" s="4" t="n">
        <v>5</v>
      </c>
      <c r="D121" s="4" t="n">
        <v>0</v>
      </c>
      <c r="E121" s="4" t="n">
        <v>0</v>
      </c>
    </row>
    <row r="122" customFormat="false" ht="23.85" hidden="false" customHeight="false" outlineLevel="0" collapsed="false">
      <c r="A122" s="4" t="s">
        <v>1550</v>
      </c>
      <c r="B122" s="4" t="s">
        <v>1551</v>
      </c>
      <c r="C122" s="4" t="n">
        <v>1</v>
      </c>
      <c r="D122" s="4" t="n">
        <v>0</v>
      </c>
      <c r="E122" s="4" t="n">
        <v>0</v>
      </c>
    </row>
    <row r="123" customFormat="false" ht="23.85" hidden="false" customHeight="false" outlineLevel="0" collapsed="false">
      <c r="A123" s="4" t="s">
        <v>1552</v>
      </c>
      <c r="B123" s="4" t="s">
        <v>1553</v>
      </c>
      <c r="C123" s="4" t="n">
        <v>1</v>
      </c>
      <c r="D123" s="4" t="n">
        <v>0</v>
      </c>
      <c r="E123" s="4" t="n">
        <v>0</v>
      </c>
    </row>
    <row r="124" customFormat="false" ht="23.85" hidden="false" customHeight="false" outlineLevel="0" collapsed="false">
      <c r="A124" s="4" t="s">
        <v>1554</v>
      </c>
      <c r="B124" s="4" t="s">
        <v>1555</v>
      </c>
      <c r="C124" s="4" t="n">
        <v>1</v>
      </c>
      <c r="D124" s="4" t="n">
        <v>0</v>
      </c>
      <c r="E124" s="4" t="n">
        <v>0</v>
      </c>
    </row>
    <row r="125" customFormat="false" ht="23.85" hidden="false" customHeight="false" outlineLevel="0" collapsed="false">
      <c r="A125" s="4" t="s">
        <v>1556</v>
      </c>
      <c r="B125" s="4" t="s">
        <v>1557</v>
      </c>
      <c r="C125" s="4" t="n">
        <v>1</v>
      </c>
      <c r="D125" s="4" t="n">
        <v>0</v>
      </c>
      <c r="E125" s="4" t="n">
        <v>0</v>
      </c>
    </row>
    <row r="126" customFormat="false" ht="23.85" hidden="false" customHeight="false" outlineLevel="0" collapsed="false">
      <c r="A126" s="4" t="s">
        <v>1558</v>
      </c>
      <c r="B126" s="4" t="s">
        <v>1559</v>
      </c>
      <c r="C126" s="4" t="n">
        <v>1</v>
      </c>
      <c r="D126" s="4" t="n">
        <v>0</v>
      </c>
      <c r="E126" s="4" t="n">
        <v>0</v>
      </c>
    </row>
    <row r="127" customFormat="false" ht="23.85" hidden="false" customHeight="false" outlineLevel="0" collapsed="false">
      <c r="A127" s="4" t="s">
        <v>1560</v>
      </c>
      <c r="B127" s="4" t="s">
        <v>1561</v>
      </c>
      <c r="C127" s="4" t="n">
        <v>3</v>
      </c>
      <c r="D127" s="4" t="n">
        <v>0</v>
      </c>
      <c r="E127" s="4" t="n">
        <v>0</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2026-10-16T17:57:57Z</dcterms:created>
  <dc:creator>openpyxl</dc:creator>
  <dc:description/>
  <dc:language>en-US</dc:language>
  <cp:lastModifiedBy/>
  <dcterms:modified xsi:type="dcterms:W3CDTF">2026-10-16T17:57:58Z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