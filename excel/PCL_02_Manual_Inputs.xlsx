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FS_Reference" sheetId="3" state="visible" r:id="rId5"/>
    <sheet name="Checks" sheetId="4" state="visible" r:id="rId6"/>
  </sheets>
  <definedNames>
    <definedName function="false" hidden="true" localSheetId="1" name="_xlnm._FilterDatabase" vbProcedure="false">Inputs!$A$1:$S$156</definedName>
  </definedNames>
  <calcPr calcId="191029" calcMode="auto" fullCalcOnLoad="1" forceFullCalc="1" iterate="false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<sst xmlns="http://schemas.openxmlformats.org/spreadsheetml/2006/main" count="2260" uniqueCount="441">
  <si>
    <t xml:space="preserve">File</t>
  </si>
  <si>
    <t xml:space="preserve">PCL_02_Manual_Inputs.xlsx - Phase 2: hand-entry of the variables that exist only in Porsche PDFs.</t>
  </si>
  <si>
    <t xml:space="preserve">Why this file</t>
  </si>
  <si>
    <t xml:space="preserve">The Porsche fact sheets (S024/S025) are extracted by script. They do not contain segment, EBITDA, R&amp;D, D&amp;A, one-off, ASP or BEV data. Those ~150 values are entered here, each tied to a source and page.</t>
  </si>
  <si>
    <t xml:space="preserve">What you edit</t>
  </si>
  <si>
    <t xml:space="preserve">Nothing, unless a source value is corrected. The workbook was populated by the lead analyst (Phase 2) and is the controlled input record for the SQL database (export_to_csv.py).</t>
  </si>
  <si>
    <t xml:space="preserve">How to enter</t>
  </si>
  <si>
    <t xml:space="preserve">If a value must be corrected: type it exactly as printed, in the unit shown in column H (Unit_as_shown). Do not convert. EUR bn -&gt; 0.7 ; EUR m -&gt; 1116 ; % -&gt; 18.3 ; EUR k -&gt; 126. Negative amounts keep their sign as printed.</t>
  </si>
  <si>
    <t xml:space="preserve">Rounding</t>
  </si>
  <si>
    <t xml:space="preserve">Column M (Rounding_as_shown) states the precision of the source. Never add digits the source does not show.</t>
  </si>
  <si>
    <t xml:space="preserve">Blue / black</t>
  </si>
  <si>
    <t xml:space="preserve">Blue = your hard-coded input. Black = formula. Green = value pulled from another sheet.</t>
  </si>
  <si>
    <t xml:space="preserve">Example row</t>
  </si>
  <si>
    <t xml:space="preserve">Row 36 (A05, H1_2026 = 1116, S016 slide 25) was the template's example row; it is now an ordinary verified input (V1).</t>
  </si>
  <si>
    <t xml:space="preserve">Checks</t>
  </si>
  <si>
    <t xml:space="preserve">Sheet 'Checks' turns OK / CHECK / PENDING as you type. Every CHECK must be resolved or explained in Note before Phase 3.</t>
  </si>
  <si>
    <t xml:space="preserve">FS_Reference</t>
  </si>
  <si>
    <t xml:space="preserve">Group revenue, EBIT, vehicle sales and deliveries by half-year from the fact sheet S025 (FACT). Used only by the checks.</t>
  </si>
  <si>
    <t xml:space="preserve">Independent re-check</t>
  </si>
  <si>
    <t xml:space="preserve">Double_checked (column O) follows ONE rule, applied to every row; column S (Verification_basis) states the basis per row: Y = V1 verbatim quote from the document text, or V2 value confirmed by reconciliation to the independent fact sheet S025 (or DERIVED from V1 components). N = V3 automated extraction without independent confirmation, or V4 DERIVED with an unconfirmed premise. N/A = blank row (data gap). Live counts: sheet 'Checks', rows 13-16.</t>
  </si>
  <si>
    <t xml:space="preserve">Status</t>
  </si>
  <si>
    <t xml:space="preserve">Populated by the lead analyst on 2026-09-28 from Porsche primary documents. Blue = value as printed. Grey = deliberately blank (reason in Note). Label column distinguishes FACT and DERIVED. Source re-check (Oct 2026): rows M095 (X05 FY2023 = 2), M097 (X05 FY2024 = 3) and M143 (O06 FY2023 = 112) filled from the official reports; M099 (X05 FY2025) refined from 1,200 to the exact 1,195. One gap remains (M093, X04 FY2025: not disclosed).</t>
  </si>
  <si>
    <t xml:space="preserve">Rec_ID</t>
  </si>
  <si>
    <t xml:space="preserve">Var_ID</t>
  </si>
  <si>
    <t xml:space="preserve">Variable</t>
  </si>
  <si>
    <t xml:space="preserve">Period</t>
  </si>
  <si>
    <t xml:space="preserve">Source_ID</t>
  </si>
  <si>
    <t xml:space="preserve">Page</t>
  </si>
  <si>
    <t xml:space="preserve">Fallback_source</t>
  </si>
  <si>
    <t xml:space="preserve">Unit_as_shown</t>
  </si>
  <si>
    <t xml:space="preserve">Value_as_shown</t>
  </si>
  <si>
    <t xml:space="preserve">Value_std</t>
  </si>
  <si>
    <t xml:space="preserve">Std_unit</t>
  </si>
  <si>
    <t xml:space="preserve">Label</t>
  </si>
  <si>
    <t xml:space="preserve">Rounding_as_shown</t>
  </si>
  <si>
    <t xml:space="preserve">Entered_By</t>
  </si>
  <si>
    <t xml:space="preserve">Double_checked (Y/N)</t>
  </si>
  <si>
    <t xml:space="preserve">Note</t>
  </si>
  <si>
    <t xml:space="preserve">Key</t>
  </si>
  <si>
    <t xml:space="preserve">Instruction</t>
  </si>
  <si>
    <t xml:space="preserve">Verification_basis</t>
  </si>
  <si>
    <t xml:space="preserve">M001</t>
  </si>
  <si>
    <t xml:space="preserve">A01</t>
  </si>
  <si>
    <t xml:space="preserve">Automotive sales revenue</t>
  </si>
  <si>
    <t xml:space="preserve">H1_2023</t>
  </si>
  <si>
    <t xml:space="preserve">S002</t>
  </si>
  <si>
    <t xml:space="preserve">9 (Automotive EBITDA margin table)</t>
  </si>
  <si>
    <t xml:space="preserve">S001 p.7/9/11 (EUR bn)</t>
  </si>
  <si>
    <t xml:space="preserve">EUR m</t>
  </si>
  <si>
    <t xml:space="preserve">FACT</t>
  </si>
  <si>
    <t xml:space="preserve">EUR 1m</t>
  </si>
  <si>
    <t xml:space="preserve">Lead analyst (Claude)</t>
  </si>
  <si>
    <t xml:space="preserve">Y</t>
  </si>
  <si>
    <t xml:space="preserve">Verbatim from document text</t>
  </si>
  <si>
    <t xml:space="preserve">V1: verbatim quote from the document text</t>
  </si>
  <si>
    <t xml:space="preserve">M002</t>
  </si>
  <si>
    <t xml:space="preserve">FY_2023</t>
  </si>
  <si>
    <t xml:space="preserve">S026</t>
  </si>
  <si>
    <t xml:space="preserve">Automotive results of operations (2023 in brackets)</t>
  </si>
  <si>
    <t xml:space="preserve">S003 p.56/60 (EUR bn)</t>
  </si>
  <si>
    <t xml:space="preserve">M003</t>
  </si>
  <si>
    <t xml:space="preserve">H1_2024</t>
  </si>
  <si>
    <t xml:space="preserve">S006</t>
  </si>
  <si>
    <t xml:space="preserve">10 (Automotive EBITDA margin table)</t>
  </si>
  <si>
    <t xml:space="preserve">S005 p.14/17/21 (EUR bn)</t>
  </si>
  <si>
    <t xml:space="preserve">M004</t>
  </si>
  <si>
    <t xml:space="preserve">FY_2024</t>
  </si>
  <si>
    <t xml:space="preserve">Automotive results of operations</t>
  </si>
  <si>
    <t xml:space="preserve">S007 p.66/70 (EUR bn)</t>
  </si>
  <si>
    <t xml:space="preserve">M005</t>
  </si>
  <si>
    <t xml:space="preserve">H1_2025</t>
  </si>
  <si>
    <t xml:space="preserve">S010</t>
  </si>
  <si>
    <t xml:space="preserve">11 (Automotive EBITDA margin table)</t>
  </si>
  <si>
    <t xml:space="preserve">S009 p.29/33 (EUR bn)</t>
  </si>
  <si>
    <t xml:space="preserve">M006</t>
  </si>
  <si>
    <t xml:space="preserve">FY_2025</t>
  </si>
  <si>
    <t xml:space="preserve">S013</t>
  </si>
  <si>
    <t xml:space="preserve">S011 p.11 (EUR bn)</t>
  </si>
  <si>
    <t xml:space="preserve">M007</t>
  </si>
  <si>
    <t xml:space="preserve">H1_2026</t>
  </si>
  <si>
    <t xml:space="preserve">S017</t>
  </si>
  <si>
    <t xml:space="preserve">12 (Automotive EBITDA margin table)</t>
  </si>
  <si>
    <t xml:space="preserve">S016 p.7/11 (EUR bn)</t>
  </si>
  <si>
    <t xml:space="preserve">M008</t>
  </si>
  <si>
    <t xml:space="preserve">A02</t>
  </si>
  <si>
    <t xml:space="preserve">Automotive operating profit</t>
  </si>
  <si>
    <t xml:space="preserve">M009</t>
  </si>
  <si>
    <t xml:space="preserve">M010</t>
  </si>
  <si>
    <t xml:space="preserve">M011</t>
  </si>
  <si>
    <t xml:space="preserve">Automotive results of operations (2024 in brackets)</t>
  </si>
  <si>
    <t xml:space="preserve">Verbatim from document text; also S026</t>
  </si>
  <si>
    <t xml:space="preserve">M012</t>
  </si>
  <si>
    <t xml:space="preserve">M013</t>
  </si>
  <si>
    <t xml:space="preserve">M014</t>
  </si>
  <si>
    <t xml:space="preserve">M015</t>
  </si>
  <si>
    <t xml:space="preserve">A03</t>
  </si>
  <si>
    <t xml:space="preserve">Automotive EBITDA</t>
  </si>
  <si>
    <t xml:space="preserve">M016</t>
  </si>
  <si>
    <t xml:space="preserve">M017</t>
  </si>
  <si>
    <t xml:space="preserve">M018</t>
  </si>
  <si>
    <t xml:space="preserve">M019</t>
  </si>
  <si>
    <t xml:space="preserve">M020</t>
  </si>
  <si>
    <t xml:space="preserve">M021</t>
  </si>
  <si>
    <t xml:space="preserve">M022</t>
  </si>
  <si>
    <t xml:space="preserve">A04</t>
  </si>
  <si>
    <t xml:space="preserve">Automotive EBITDA margin</t>
  </si>
  <si>
    <t xml:space="preserve">%</t>
  </si>
  <si>
    <t xml:space="preserve">0.1pp</t>
  </si>
  <si>
    <t xml:space="preserve">Enter 18.3 for 18.3%</t>
  </si>
  <si>
    <t xml:space="preserve">M023</t>
  </si>
  <si>
    <t xml:space="preserve">M024</t>
  </si>
  <si>
    <t xml:space="preserve">M025</t>
  </si>
  <si>
    <t xml:space="preserve">M026</t>
  </si>
  <si>
    <t xml:space="preserve">M027</t>
  </si>
  <si>
    <t xml:space="preserve">M028</t>
  </si>
  <si>
    <t xml:space="preserve">M029</t>
  </si>
  <si>
    <t xml:space="preserve">A05</t>
  </si>
  <si>
    <t xml:space="preserve">Automotive R&amp;D costs (total)</t>
  </si>
  <si>
    <t xml:space="preserve">29 (Note 3)</t>
  </si>
  <si>
    <t xml:space="preserve">S002 p.6</t>
  </si>
  <si>
    <t xml:space="preserve">Verbatim from document text; same figure as prior-year column in S006 p.8</t>
  </si>
  <si>
    <t xml:space="preserve">M030</t>
  </si>
  <si>
    <t xml:space="preserve">S011</t>
  </si>
  <si>
    <t xml:space="preserve">34</t>
  </si>
  <si>
    <t xml:space="preserve">S003 p.66</t>
  </si>
  <si>
    <t xml:space="preserve">M031</t>
  </si>
  <si>
    <t xml:space="preserve">S016</t>
  </si>
  <si>
    <t xml:space="preserve">25</t>
  </si>
  <si>
    <t xml:space="preserve">S005 p.28</t>
  </si>
  <si>
    <t xml:space="preserve">M032</t>
  </si>
  <si>
    <t xml:space="preserve">S007 p.78</t>
  </si>
  <si>
    <t xml:space="preserve">M033</t>
  </si>
  <si>
    <t xml:space="preserve">S009 p.43</t>
  </si>
  <si>
    <t xml:space="preserve">Verbatim from document text. Restated: S010 p.9 (published July 2025) showed 1,258; S016 (latest) shows 1,264. Latest-document rule applied (AF-09).</t>
  </si>
  <si>
    <t xml:space="preserve">M034</t>
  </si>
  <si>
    <t xml:space="preserve">M035</t>
  </si>
  <si>
    <t xml:space="preserve">M036</t>
  </si>
  <si>
    <t xml:space="preserve">A06</t>
  </si>
  <si>
    <t xml:space="preserve">Automotive capitalised development costs</t>
  </si>
  <si>
    <t xml:space="preserve">M037</t>
  </si>
  <si>
    <t xml:space="preserve">M038</t>
  </si>
  <si>
    <t xml:space="preserve">M039</t>
  </si>
  <si>
    <t xml:space="preserve">M040</t>
  </si>
  <si>
    <t xml:space="preserve">M041</t>
  </si>
  <si>
    <t xml:space="preserve">M042</t>
  </si>
  <si>
    <t xml:space="preserve">M043</t>
  </si>
  <si>
    <t xml:space="preserve">A07</t>
  </si>
  <si>
    <t xml:space="preserve">Capitalisation rate</t>
  </si>
  <si>
    <t xml:space="preserve">Enter 43.6 for 43.6%</t>
  </si>
  <si>
    <t xml:space="preserve">M044</t>
  </si>
  <si>
    <t xml:space="preserve">M045</t>
  </si>
  <si>
    <t xml:space="preserve">M046</t>
  </si>
  <si>
    <t xml:space="preserve">M047</t>
  </si>
  <si>
    <t xml:space="preserve">M048</t>
  </si>
  <si>
    <t xml:space="preserve">M049</t>
  </si>
  <si>
    <t xml:space="preserve">M050</t>
  </si>
  <si>
    <t xml:space="preserve">A08</t>
  </si>
  <si>
    <t xml:space="preserve">Expensed automotive R&amp;D</t>
  </si>
  <si>
    <t xml:space="preserve">S005</t>
  </si>
  <si>
    <t xml:space="preserve">28 (prior-year column)</t>
  </si>
  <si>
    <t xml:space="preserve">N</t>
  </si>
  <si>
    <t xml:space="preserve">Located by automated extraction of S005 slide 28 (expensed R&amp;D (A) = 343). A05 - A06 = 344; 1m difference is rounding. Spot-check slide 28.</t>
  </si>
  <si>
    <t xml:space="preserve">V3: automated extraction only; consistent within EUR 1m with other PDF values (A05 - A06 = 344, CHK1) but not reconciled to an independent source</t>
  </si>
  <si>
    <t xml:space="preserve">M051</t>
  </si>
  <si>
    <t xml:space="preserve">M052</t>
  </si>
  <si>
    <t xml:space="preserve">M053</t>
  </si>
  <si>
    <t xml:space="preserve">M054</t>
  </si>
  <si>
    <t xml:space="preserve">M055</t>
  </si>
  <si>
    <t xml:space="preserve">M056</t>
  </si>
  <si>
    <t xml:space="preserve">M057</t>
  </si>
  <si>
    <t xml:space="preserve">A09</t>
  </si>
  <si>
    <t xml:space="preserve">Amortisation of capitalised R&amp;D</t>
  </si>
  <si>
    <t xml:space="preserve">Verbatim from document text; same in S006 p.8</t>
  </si>
  <si>
    <t xml:space="preserve">M058</t>
  </si>
  <si>
    <t xml:space="preserve">M059</t>
  </si>
  <si>
    <t xml:space="preserve">M060</t>
  </si>
  <si>
    <t xml:space="preserve">M061</t>
  </si>
  <si>
    <t xml:space="preserve">M062</t>
  </si>
  <si>
    <t xml:space="preserve">M063</t>
  </si>
  <si>
    <t xml:space="preserve">M064</t>
  </si>
  <si>
    <t xml:space="preserve">A10</t>
  </si>
  <si>
    <t xml:space="preserve">Automotive capex</t>
  </si>
  <si>
    <t xml:space="preserve">3 (key figures)</t>
  </si>
  <si>
    <t xml:space="preserve">Verbatim from document text; same in S006 p.8 prior-year column</t>
  </si>
  <si>
    <t xml:space="preserve">M065</t>
  </si>
  <si>
    <t xml:space="preserve">M066</t>
  </si>
  <si>
    <t xml:space="preserve">M067</t>
  </si>
  <si>
    <t xml:space="preserve">M068</t>
  </si>
  <si>
    <t xml:space="preserve">M069</t>
  </si>
  <si>
    <t xml:space="preserve">M070</t>
  </si>
  <si>
    <t xml:space="preserve">M071</t>
  </si>
  <si>
    <t xml:space="preserve">A11</t>
  </si>
  <si>
    <t xml:space="preserve">Automotive depreciation on capex (incl. impairments)</t>
  </si>
  <si>
    <t xml:space="preserve">M072</t>
  </si>
  <si>
    <t xml:space="preserve">M073</t>
  </si>
  <si>
    <t xml:space="preserve">M074</t>
  </si>
  <si>
    <t xml:space="preserve">Verbatim from document text. Includes EUR 295m Cellforce impairment (S010 p.32).</t>
  </si>
  <si>
    <t xml:space="preserve">M075</t>
  </si>
  <si>
    <t xml:space="preserve">Verbatim from document text. Includes around EUR 1,200m impairment losses (S011 slide 34 footnote).</t>
  </si>
  <si>
    <t xml:space="preserve">M076</t>
  </si>
  <si>
    <t xml:space="preserve">M077</t>
  </si>
  <si>
    <t xml:space="preserve">A12</t>
  </si>
  <si>
    <t xml:space="preserve">Automotive total D&amp;A (incl. impairments)</t>
  </si>
  <si>
    <t xml:space="preserve">Verbatim from document text ('depreciation and amortization and impairment losses'); A02 + A12 = A03 exactly</t>
  </si>
  <si>
    <t xml:space="preserve">Must equal A03 - A02 for H1 2023</t>
  </si>
  <si>
    <t xml:space="preserve">M078</t>
  </si>
  <si>
    <t xml:space="preserve">M079</t>
  </si>
  <si>
    <t xml:space="preserve">M080</t>
  </si>
  <si>
    <t xml:space="preserve">M081</t>
  </si>
  <si>
    <t xml:space="preserve">M082</t>
  </si>
  <si>
    <t xml:space="preserve">M083</t>
  </si>
  <si>
    <t xml:space="preserve">M084</t>
  </si>
  <si>
    <t xml:space="preserve">X01</t>
  </si>
  <si>
    <t xml:space="preserve">Strategic realignment incl. battery (net charge)</t>
  </si>
  <si>
    <t xml:space="preserve">6 (footnote 1)</t>
  </si>
  <si>
    <t xml:space="preserve">S009 p.28</t>
  </si>
  <si>
    <t xml:space="preserve">EUR bn</t>
  </si>
  <si>
    <t xml:space="preserve">EUR 0.1bn</t>
  </si>
  <si>
    <t xml:space="preserve">'extraordinary expenses of EUR 0.7bn related to strategic realignment' - includes battery activities</t>
  </si>
  <si>
    <t xml:space="preserve">Combined realignment + battery = 0.7</t>
  </si>
  <si>
    <t xml:space="preserve">M085</t>
  </si>
  <si>
    <t xml:space="preserve">6</t>
  </si>
  <si>
    <t xml:space="preserve">DERIVED</t>
  </si>
  <si>
    <t xml:space="preserve">DERIVED = 2.4 (strategic realignment &amp; product strategy) + 0.7 (battery activities), both printed on S011 slide 6 and in S015. Kept combined to match the H1 definition of X01.</t>
  </si>
  <si>
    <t xml:space="preserve">Enter realignment of product strategy + rescaling (~2.4) PLUS battery (~0.7) = combined line; battery also in X02</t>
  </si>
  <si>
    <t xml:space="preserve">V1 (DERIVED): both components (2.4 and 0.7) read from the raw text of S011 slide 6 and confirmed in S015</t>
  </si>
  <si>
    <t xml:space="preserve">M086</t>
  </si>
  <si>
    <t xml:space="preserve">6 and 11</t>
  </si>
  <si>
    <t xml:space="preserve">S018</t>
  </si>
  <si>
    <t xml:space="preserve">NET burden 'approximately EUR 0.1bn' = ~0.4bn charges less ~0.3bn provision release (X04)</t>
  </si>
  <si>
    <t xml:space="preserve">NET figure (~0.1 = ~0.4 charges less ~0.3 release)</t>
  </si>
  <si>
    <t xml:space="preserve">M087</t>
  </si>
  <si>
    <t xml:space="preserve">X02</t>
  </si>
  <si>
    <t xml:space="preserve">of which battery activities</t>
  </si>
  <si>
    <t xml:space="preserve">5 and 30</t>
  </si>
  <si>
    <t xml:space="preserve">Memo, inside X01. Verbatim: 'special expenses of EUR 0.4 billion ... write-downs of production facilities'. S009 slide 28 sub-split conflicts at 0.1bn level (AF-01). | Note (Oct 2026): S009 slide 28 shows battery activities 0.5 (with realignment 0.2 and tariffs 0.4, total app. 1.1). The half-year report wording (0.4) is kept; the memo is not used in any KPI.</t>
  </si>
  <si>
    <t xml:space="preserve">Memo: already inside X01</t>
  </si>
  <si>
    <t xml:space="preserve">M088</t>
  </si>
  <si>
    <t xml:space="preserve">Memo, inside X01. Also S015: 'approximately 700 million euros'.</t>
  </si>
  <si>
    <t xml:space="preserve">M089</t>
  </si>
  <si>
    <t xml:space="preserve">X03</t>
  </si>
  <si>
    <t xml:space="preserve">US import tariffs (expense)</t>
  </si>
  <si>
    <t xml:space="preserve">S016 p.6 fn1</t>
  </si>
  <si>
    <t xml:space="preserve">Verbatim: 'additional expenses of EUR 0.4 billion in the first half of the year 2025'; same in S016 p.6 fn1</t>
  </si>
  <si>
    <t xml:space="preserve">M090</t>
  </si>
  <si>
    <t xml:space="preserve">Also S015: 'approximately 700 million euros'</t>
  </si>
  <si>
    <t xml:space="preserve">M091</t>
  </si>
  <si>
    <t xml:space="preserve">6 (footnote 2)</t>
  </si>
  <si>
    <t xml:space="preserve">'Included expenses of EUR 0.4 bn for US Tariffs'</t>
  </si>
  <si>
    <t xml:space="preserve">M092</t>
  </si>
  <si>
    <t xml:space="preserve">X04</t>
  </si>
  <si>
    <t xml:space="preserve">Provision releases related to realignment</t>
  </si>
  <si>
    <t xml:space="preserve">S017 p.11/14</t>
  </si>
  <si>
    <t xml:space="preserve">Benefit 'of approximately EUR 0.3 bn from the release of a provision after successful supplier settlements'</t>
  </si>
  <si>
    <t xml:space="preserve">Enter as a positive number (benefit)</t>
  </si>
  <si>
    <t xml:space="preserve">M093</t>
  </si>
  <si>
    <t xml:space="preserve">S012</t>
  </si>
  <si>
    <t xml:space="preserve">Searched: full document (247 PDF pages)</t>
  </si>
  <si>
    <t xml:space="preserve">N/A</t>
  </si>
  <si>
    <t xml:space="preserve">BLANK: not disclosed. Source re-check Oct 2026 (official PDF text layer read in full). All 44 mentions of "realignment" in S012 checked: no realignment provision release is stated; only generic totals (provision reversals 276, provisions table; income from reversal of provisions and accruals 97, other operating income note). Not estimated.</t>
  </si>
  <si>
    <t xml:space="preserve">Leave blank if not disclosed; write 'not disclosed' in Note</t>
  </si>
  <si>
    <t xml:space="preserve">GAP: no value entered (reason in Note) - nothing to verify</t>
  </si>
  <si>
    <t xml:space="preserve">M094</t>
  </si>
  <si>
    <t xml:space="preserve">X05</t>
  </si>
  <si>
    <t xml:space="preserve">Impairment losses included in automotive D&amp;A</t>
  </si>
  <si>
    <t xml:space="preserve">38-39 (segment reporting)</t>
  </si>
  <si>
    <t xml:space="preserve">Automotive impairment losses shown as '-' (nil); only FS leased-asset impairments (EUR 75m)</t>
  </si>
  <si>
    <t xml:space="preserve">Only FS leased-asset impairments found; automotive impairments: search notes. If none disclosed, enter 0 and note 'none disclosed'</t>
  </si>
  <si>
    <t xml:space="preserve">M095</t>
  </si>
  <si>
    <t xml:space="preserve">S004</t>
  </si>
  <si>
    <t xml:space="preserve">Segment reporting table, PDF p.153 (printed pp.304-305)</t>
  </si>
  <si>
    <t xml:space="preserve">Verbatim (segment reporting 2023, row "Impairment losses"): "2 160 162" = automotive 2, financial services 160, total 162. Source re-check Oct 2026 (official PDF text layer read in full). Previously recorded as a gap.</t>
  </si>
  <si>
    <t xml:space="preserve">Search impairment note</t>
  </si>
  <si>
    <t xml:space="preserve">M096</t>
  </si>
  <si>
    <t xml:space="preserve">38 (segment reporting)</t>
  </si>
  <si>
    <t xml:space="preserve">Automotive impairment losses shown as 0; FS EUR 87m</t>
  </si>
  <si>
    <t xml:space="preserve">Same as H1 2023</t>
  </si>
  <si>
    <t xml:space="preserve">M097</t>
  </si>
  <si>
    <t xml:space="preserve">S008</t>
  </si>
  <si>
    <t xml:space="preserve">Segment reporting table, PDF p.189 (printed p.30 of the financial statements)</t>
  </si>
  <si>
    <t xml:space="preserve">Verbatim (segment reporting 2024, row "Impairment losses"): "3 207 210" = automotive 3, financial services 207, total 210. Source re-check Oct 2026 (official PDF text layer read in full). Previously recorded as a gap.</t>
  </si>
  <si>
    <t xml:space="preserve">M098</t>
  </si>
  <si>
    <t xml:space="preserve">32</t>
  </si>
  <si>
    <t xml:space="preserve">Verbatim: 'Depreciation of property, plant and equipment includes the impairment of Cellforce Group GmbH in the amount of EUR 295 million'</t>
  </si>
  <si>
    <t xml:space="preserve">Cellforce impairment inside PP&amp;E depreciation</t>
  </si>
  <si>
    <t xml:space="preserve">M099</t>
  </si>
  <si>
    <t xml:space="preserve">Segment reporting table, PDF p.176 (printed p.33 of the financial statements)</t>
  </si>
  <si>
    <t xml:space="preserve">S011 p.34 footnote</t>
  </si>
  <si>
    <t xml:space="preserve">Verbatim (segment reporting 2025, row "Impairment losses"): "1,195 250 1,446" = automotive 1,195. S011 slide 34 footnote rounds this as "Includes around EUR 1,200 mn of impairment losses due to the strategic realignment". Source re-check Oct 2026 (official PDF text layer read in full). Value changed from 1,200 (rounded) to 1,195 (exact).</t>
  </si>
  <si>
    <t xml:space="preserve">'around 1,200' -&gt; enter 1200, rounding EUR 100m</t>
  </si>
  <si>
    <t xml:space="preserve">M100</t>
  </si>
  <si>
    <t xml:space="preserve">29</t>
  </si>
  <si>
    <t xml:space="preserve">DERIVED = 43 (Porsche eBike Performance) + 18 (Cellforce), both published. NOT confirmed that both sit inside automotive D&amp;A (A12); treat as upper bound.</t>
  </si>
  <si>
    <t xml:space="preserve">eBike + Cellforce impairments; confirm they sit in automotive D&amp;A</t>
  </si>
  <si>
    <t xml:space="preserve">V4: DERIVED from two verbatim-quoted amounts (43 + 18, S017 p.29); classification inside automotive D&amp;A NOT confirmed (assumption A-04)</t>
  </si>
  <si>
    <t xml:space="preserve">M101</t>
  </si>
  <si>
    <t xml:space="preserve">F01</t>
  </si>
  <si>
    <t xml:space="preserve">Financial Services sales revenue</t>
  </si>
  <si>
    <t xml:space="preserve">M102</t>
  </si>
  <si>
    <t xml:space="preserve">Financial services results of operations (2023 in brackets)</t>
  </si>
  <si>
    <t xml:space="preserve">M103</t>
  </si>
  <si>
    <t xml:space="preserve">M104</t>
  </si>
  <si>
    <t xml:space="preserve">Financial services results of operations (2024 in brackets)</t>
  </si>
  <si>
    <t xml:space="preserve">M105</t>
  </si>
  <si>
    <t xml:space="preserve">42 (segment reporting)</t>
  </si>
  <si>
    <t xml:space="preserve">M106</t>
  </si>
  <si>
    <t xml:space="preserve">Financial services results of operations</t>
  </si>
  <si>
    <t xml:space="preserve">M107</t>
  </si>
  <si>
    <t xml:space="preserve">39 (segment reporting)</t>
  </si>
  <si>
    <t xml:space="preserve">M108</t>
  </si>
  <si>
    <t xml:space="preserve">F02</t>
  </si>
  <si>
    <t xml:space="preserve">Financial Services operating profit</t>
  </si>
  <si>
    <t xml:space="preserve">deck FS slide (EUR bn)</t>
  </si>
  <si>
    <t xml:space="preserve">M109</t>
  </si>
  <si>
    <t xml:space="preserve">M110</t>
  </si>
  <si>
    <t xml:space="preserve">M111</t>
  </si>
  <si>
    <t xml:space="preserve">M112</t>
  </si>
  <si>
    <t xml:space="preserve">M113</t>
  </si>
  <si>
    <t xml:space="preserve">M114</t>
  </si>
  <si>
    <t xml:space="preserve">M115</t>
  </si>
  <si>
    <t xml:space="preserve">B01</t>
  </si>
  <si>
    <t xml:space="preserve">Bridge: gross margin without R&amp;D (change)</t>
  </si>
  <si>
    <t xml:space="preserve">S003</t>
  </si>
  <si>
    <t xml:space="preserve">55</t>
  </si>
  <si>
    <t xml:space="preserve">Values from automated extraction of slide text; confirmed by reconciliation of every bucket to the fact-sheet P&amp;L (CHK8-CHK10) and of the total to reported EBIT (CHK7).</t>
  </si>
  <si>
    <t xml:space="preserve">Change vs same period prior year; keep the sign shown</t>
  </si>
  <si>
    <t xml:space="preserve">V2: automated extraction of slide text, confirmed by reconciliation to fact sheet S025 (CHK7-CHK10; DQ09)</t>
  </si>
  <si>
    <t xml:space="preserve">M116</t>
  </si>
  <si>
    <t xml:space="preserve">16</t>
  </si>
  <si>
    <t xml:space="preserve">EUR 0.01bn</t>
  </si>
  <si>
    <t xml:space="preserve">M117</t>
  </si>
  <si>
    <t xml:space="preserve">S007</t>
  </si>
  <si>
    <t xml:space="preserve">65</t>
  </si>
  <si>
    <t xml:space="preserve">M118</t>
  </si>
  <si>
    <t xml:space="preserve">S009</t>
  </si>
  <si>
    <t xml:space="preserve">28</t>
  </si>
  <si>
    <t xml:space="preserve">M119</t>
  </si>
  <si>
    <t xml:space="preserve">Raw slide text order: -4.17, -1.11, +0.26, -0.21 under labels GM w/o R&amp;D, R&amp;D, SG&amp;A, Other. Mapping confirmed by CHK8-10 against the fact sheet.</t>
  </si>
  <si>
    <t xml:space="preserve">M120</t>
  </si>
  <si>
    <t xml:space="preserve">M121</t>
  </si>
  <si>
    <t xml:space="preserve">B02</t>
  </si>
  <si>
    <t xml:space="preserve">Bridge: R&amp;D (change)</t>
  </si>
  <si>
    <t xml:space="preserve">M122</t>
  </si>
  <si>
    <t xml:space="preserve">M123</t>
  </si>
  <si>
    <t xml:space="preserve">M124</t>
  </si>
  <si>
    <t xml:space="preserve">M125</t>
  </si>
  <si>
    <t xml:space="preserve">M126</t>
  </si>
  <si>
    <t xml:space="preserve">M127</t>
  </si>
  <si>
    <t xml:space="preserve">B03</t>
  </si>
  <si>
    <t xml:space="preserve">Bridge: SG&amp;A (change)</t>
  </si>
  <si>
    <t xml:space="preserve">M128</t>
  </si>
  <si>
    <t xml:space="preserve">M129</t>
  </si>
  <si>
    <t xml:space="preserve">M130</t>
  </si>
  <si>
    <t xml:space="preserve">M131</t>
  </si>
  <si>
    <t xml:space="preserve">M132</t>
  </si>
  <si>
    <t xml:space="preserve">M133</t>
  </si>
  <si>
    <t xml:space="preserve">B04</t>
  </si>
  <si>
    <t xml:space="preserve">Bridge: Other (change)</t>
  </si>
  <si>
    <t xml:space="preserve">M134</t>
  </si>
  <si>
    <t xml:space="preserve">M135</t>
  </si>
  <si>
    <t xml:space="preserve">M136</t>
  </si>
  <si>
    <t xml:space="preserve">M137</t>
  </si>
  <si>
    <t xml:space="preserve">M138</t>
  </si>
  <si>
    <t xml:space="preserve">M139</t>
  </si>
  <si>
    <t xml:space="preserve">B05</t>
  </si>
  <si>
    <t xml:space="preserve">Bridge memo: extraordinary items inside B01-B04</t>
  </si>
  <si>
    <t xml:space="preserve">MEMO '∑ app. -1.10' - already inside B01-B04</t>
  </si>
  <si>
    <t xml:space="preserve">MEMO only - 'of which' bracket; enter as negative</t>
  </si>
  <si>
    <t xml:space="preserve">M140</t>
  </si>
  <si>
    <t xml:space="preserve">MEMO '∑ app. -3.9' - already inside B01-B04. Components printed: 2.4 / 0.7 / 0.7 (sum 3.8; Porsche rounds the total to 3.9)</t>
  </si>
  <si>
    <t xml:space="preserve">M141</t>
  </si>
  <si>
    <t xml:space="preserve">MEMO '∑ app. -0.1' - already inside B01-B04</t>
  </si>
  <si>
    <t xml:space="preserve">M142</t>
  </si>
  <si>
    <t xml:space="preserve">O06</t>
  </si>
  <si>
    <t xml:space="preserve">ASP - automotive revenue per vehicle sold</t>
  </si>
  <si>
    <t xml:space="preserve">20 (prior-year column)</t>
  </si>
  <si>
    <t xml:space="preserve">EUR k</t>
  </si>
  <si>
    <t xml:space="preserve">EUR 1k</t>
  </si>
  <si>
    <t xml:space="preserve">Located by automated extraction of S005 slide 20 (prior-year column). Confirmed: A01 18,892m / S025 vehicle sales 170,802 = 110.61k, rounds to 111 (CHK6, MQ13).</t>
  </si>
  <si>
    <t xml:space="preserve">Per vehicle SOLD, not per delivery</t>
  </si>
  <si>
    <t xml:space="preserve">V2: automated extraction, confirmed by reconciliation to fact sheet S025: A01 / vehicle sales = 110.61k -&gt; rounds to published 111 (MQ13 tolerance 0.5k; 110 or 112 would fail)</t>
  </si>
  <si>
    <t xml:space="preserve">M143</t>
  </si>
  <si>
    <t xml:space="preserve">69</t>
  </si>
  <si>
    <t xml:space="preserve">Verbatim: S007 slide 69 "Automotive Sales Revenue per vehicle sold, in EUR k" shows 110 / 112 / 117 for 2022 / 2023 / 2024 (paired by position on the slide). Cross-check: A01 37,349 / vehicle sales 333,605 = 111.96k. S003 slide 56 and S007 slide 66 show revenue per DELIVERY (117). Source re-check Oct 2026 (official PDF text layer read in full). Previously recorded as a gap.</t>
  </si>
  <si>
    <t xml:space="preserve">V1: verbatim quote from the document text (pairing by position), confirmed by A01 / vehicle sales</t>
  </si>
  <si>
    <t xml:space="preserve">M144</t>
  </si>
  <si>
    <t xml:space="preserve">32 (prior-year column)</t>
  </si>
  <si>
    <t xml:space="preserve">M145</t>
  </si>
  <si>
    <t xml:space="preserve">10 (prior-year column)</t>
  </si>
  <si>
    <t xml:space="preserve">M146</t>
  </si>
  <si>
    <t xml:space="preserve">Verbatim from document text; same on S009 slide 32</t>
  </si>
  <si>
    <t xml:space="preserve">M147</t>
  </si>
  <si>
    <t xml:space="preserve">10</t>
  </si>
  <si>
    <t xml:space="preserve">M148</t>
  </si>
  <si>
    <t xml:space="preserve">M149</t>
  </si>
  <si>
    <t xml:space="preserve">O07</t>
  </si>
  <si>
    <t xml:space="preserve">BEV share</t>
  </si>
  <si>
    <t xml:space="preserve">7 (prior-year value)</t>
  </si>
  <si>
    <t xml:space="preserve">Verbatim from document text; same in S002 p.7. Porsche definition: 'the proportion of purely battery-powered electric vehicles' in deliveries</t>
  </si>
  <si>
    <t xml:space="preserve">Record the definition wording shown (share of deliveries?) in Note</t>
  </si>
  <si>
    <t xml:space="preserve">M150</t>
  </si>
  <si>
    <t xml:space="preserve">66 (prior-year value)</t>
  </si>
  <si>
    <t xml:space="preserve">Located by automated extraction; also S003 slide 56. Porsche definition: 'the proportion of purely battery-powered electric vehicles' in deliveries</t>
  </si>
  <si>
    <t xml:space="preserve">V3: automated extraction only (S007 slide 66 and S003 slide 56 agree); no independent arithmetic check exists</t>
  </si>
  <si>
    <t xml:space="preserve">M151</t>
  </si>
  <si>
    <t xml:space="preserve">7</t>
  </si>
  <si>
    <t xml:space="preserve">Verbatim from document text; confirmed as prior-year value in S010 p.8. Porsche definition: 'the proportion of purely battery-powered electric vehicles' in deliveries</t>
  </si>
  <si>
    <t xml:space="preserve">M152</t>
  </si>
  <si>
    <t xml:space="preserve">Verbatim from document text (slide text)</t>
  </si>
  <si>
    <t xml:space="preserve">M153</t>
  </si>
  <si>
    <t xml:space="preserve">8</t>
  </si>
  <si>
    <t xml:space="preserve">M154</t>
  </si>
  <si>
    <t xml:space="preserve">M155</t>
  </si>
  <si>
    <t xml:space="preserve">G01 Group revenue (EUR m)</t>
  </si>
  <si>
    <t xml:space="preserve">G07 Group EBIT (EUR m)</t>
  </si>
  <si>
    <t xml:space="preserve">O04 Vehicle sales (units)</t>
  </si>
  <si>
    <t xml:space="preserve">O01 Deliveries (units)</t>
  </si>
  <si>
    <t xml:space="preserve">Source</t>
  </si>
  <si>
    <t xml:space="preserve">G03 Gross profit (EUR m)</t>
  </si>
  <si>
    <t xml:space="preserve">G04+G05 SG&amp;A (EUR m)</t>
  </si>
  <si>
    <t xml:space="preserve">G06 Net other operating result (EUR m)</t>
  </si>
  <si>
    <t xml:space="preserve">H1_2022</t>
  </si>
  <si>
    <t xml:space="preserve">S025 fact sheet via pcl_extract_factsheets.py (FACT) - 2022 IFRS 17 restated</t>
  </si>
  <si>
    <t xml:space="preserve">FY_2022</t>
  </si>
  <si>
    <t xml:space="preserve">S025 fact sheet via pcl_extract_factsheets.py (FACT)</t>
  </si>
  <si>
    <t xml:space="preserve">CHK1 R&amp;D: A05 = A06 + A08 (+/-2)</t>
  </si>
  <si>
    <t xml:space="preserve">CHK2 Cap. rate: A06/A05 = A07 (+/-0.2pp)</t>
  </si>
  <si>
    <t xml:space="preserve">CHK3 D&amp;A: A12 = A09 + A11 (+/-2)</t>
  </si>
  <si>
    <t xml:space="preserve">CHK4 EBITDA: A03 = A02 + A12 (+/-60)</t>
  </si>
  <si>
    <t xml:space="preserve">CHK5 Margin: A03/A01 = A04 (+/-0.15pp)</t>
  </si>
  <si>
    <t xml:space="preserve">CHK6 ASP: A01/vehicle sales = O06 (+/-1.5k)</t>
  </si>
  <si>
    <t xml:space="preserve">CHK7 Bridge: prior EBIT + B01..B04 = EBIT</t>
  </si>
  <si>
    <t xml:space="preserve">CHK8 Bridge SG&amp;A: B03 = change in G04+G05 (fact sheet)</t>
  </si>
  <si>
    <t xml:space="preserve">CHK9 Bridge Other: B04 = change in G06 (fact sheet)</t>
  </si>
  <si>
    <t xml:space="preserve">CHK10 Bridge: B01 + B02 = change in gross profit G03</t>
  </si>
  <si>
    <t xml:space="preserve">Bridge tolerance (EUR m)</t>
  </si>
  <si>
    <t xml:space="preserve">Entered rows</t>
  </si>
  <si>
    <t xml:space="preserve">Blank rows with explanation</t>
  </si>
  <si>
    <t xml:space="preserve">Rows expected</t>
  </si>
  <si>
    <t xml:space="preserve">Total</t>
  </si>
  <si>
    <t xml:space="preserve">Double_checked status (counted from Inputs column 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</si>
</sst>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0</v>
      </c>
      <c r="B1" s="3" t="s">
        <v>1</v>
      </c>
    </row>
    <row r="2" customFormat="false" ht="23.25" hidden="false" customHeight="true" outlineLevel="0" collapsed="false">
      <c r="A2" s="2" t="s">
        <v>2</v>
      </c>
      <c r="B2" s="3" t="s">
        <v>3</v>
      </c>
    </row>
    <row r="3" customFormat="false" ht="23.25" hidden="false" customHeight="true" outlineLevel="0" collapsed="false">
      <c r="A3" s="2" t="s">
        <v>4</v>
      </c>
      <c r="B3" s="3" t="s">
        <v>5</v>
      </c>
    </row>
    <row r="4" customFormat="false" ht="23.25" hidden="false" customHeight="true" outlineLevel="0" collapsed="false">
      <c r="A4" s="2" t="s">
        <v>6</v>
      </c>
      <c r="B4" s="3" t="s">
        <v>7</v>
      </c>
    </row>
    <row r="5" customFormat="false" ht="15" hidden="false" customHeight="true" outlineLevel="0" collapsed="false">
      <c r="A5" s="2" t="s">
        <v>8</v>
      </c>
      <c r="B5" s="3" t="s">
        <v>9</v>
      </c>
    </row>
    <row r="6" customFormat="false" ht="15" hidden="false" customHeight="true" outlineLevel="0" collapsed="false">
      <c r="A6" s="2" t="s">
        <v>10</v>
      </c>
      <c r="B6" s="3" t="s">
        <v>11</v>
      </c>
    </row>
    <row r="7" customFormat="false" ht="15" hidden="false" customHeight="true" outlineLevel="0" collapsed="false">
      <c r="A7" s="2" t="s">
        <v>12</v>
      </c>
      <c r="B7" s="3" t="s">
        <v>13</v>
      </c>
    </row>
    <row r="8" customFormat="false" ht="15" hidden="false" customHeight="true" outlineLevel="0" collapsed="false">
      <c r="A8" s="2" t="s">
        <v>14</v>
      </c>
      <c r="B8" s="3" t="s">
        <v>15</v>
      </c>
    </row>
    <row r="9" customFormat="false" ht="15" hidden="false" customHeight="true" outlineLevel="0" collapsed="false">
      <c r="A9" s="2" t="s">
        <v>16</v>
      </c>
      <c r="B9" s="3" t="s">
        <v>17</v>
      </c>
    </row>
    <row r="10" customFormat="false" ht="15" hidden="false" customHeight="true" outlineLevel="0" collapsed="false">
      <c r="A10" s="2" t="s">
        <v>18</v>
      </c>
      <c r="B10" s="3" t="s">
        <v>19</v>
      </c>
    </row>
    <row r="11" customFormat="false" ht="15" hidden="false" customHeight="true" outlineLevel="0" collapsed="false">
      <c r="A11" s="1" t="s">
        <v>20</v>
      </c>
      <c r="B11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24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false" outlineLevel="0" max="12" min="12" style="1" width="8"/>
    <col collapsed="false" customWidth="true" hidden="false" outlineLevel="0" max="13" min="13" style="1" width="14"/>
    <col collapsed="false" customWidth="true" hidden="false" outlineLevel="0" max="15" min="14" style="1" width="12"/>
    <col collapsed="false" customWidth="true" hidden="false" outlineLevel="0" max="16" min="16" style="1" width="40"/>
    <col collapsed="false" customWidth="true" hidden="false" outlineLevel="0" max="17" min="17" style="1" width="16"/>
    <col collapsed="false" customWidth="true" hidden="false" outlineLevel="0" max="18" min="18" style="1" width="50"/>
    <col collapsed="false" customWidth="true" hidden="false" outlineLevel="0" max="19" min="19" style="1" width="60"/>
  </cols>
  <sheetData>
    <row r="1" customFormat="false" ht="34.5" hidden="false" customHeight="tru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</row>
    <row r="2" customFormat="false" ht="23.25" hidden="false" customHeight="true" outlineLevel="0" collapsed="false">
      <c r="A2" s="5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6" t="n">
        <v>18892</v>
      </c>
      <c r="J2" s="5" t="n">
        <f aca="false">IF(I2="","",IF(H2="EUR bn",I2*1000,I2))</f>
        <v>18892</v>
      </c>
      <c r="K2" s="5" t="str">
        <f aca="false">IF(H2="EUR bn","EUR m",H2)</f>
        <v>EUR m</v>
      </c>
      <c r="L2" s="5" t="s">
        <v>49</v>
      </c>
      <c r="M2" s="5" t="s">
        <v>50</v>
      </c>
      <c r="N2" s="7" t="s">
        <v>51</v>
      </c>
      <c r="O2" s="7" t="s">
        <v>52</v>
      </c>
      <c r="P2" s="7" t="s">
        <v>53</v>
      </c>
      <c r="Q2" s="5" t="str">
        <f aca="false">B2&amp;"|"&amp;D2</f>
        <v>A01|H1_2023</v>
      </c>
      <c r="R2" s="5"/>
      <c r="S2" s="5" t="s">
        <v>54</v>
      </c>
    </row>
    <row r="3" customFormat="false" ht="23.25" hidden="false" customHeight="true" outlineLevel="0" collapsed="false">
      <c r="A3" s="5" t="s">
        <v>55</v>
      </c>
      <c r="B3" s="5" t="s">
        <v>42</v>
      </c>
      <c r="C3" s="5" t="s">
        <v>43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48</v>
      </c>
      <c r="I3" s="6" t="n">
        <v>37349</v>
      </c>
      <c r="J3" s="5" t="n">
        <f aca="false">IF(I3="","",IF(H3="EUR bn",I3*1000,I3))</f>
        <v>37349</v>
      </c>
      <c r="K3" s="5" t="str">
        <f aca="false">IF(H3="EUR bn","EUR m",H3)</f>
        <v>EUR m</v>
      </c>
      <c r="L3" s="5" t="s">
        <v>49</v>
      </c>
      <c r="M3" s="5" t="s">
        <v>50</v>
      </c>
      <c r="N3" s="7" t="s">
        <v>51</v>
      </c>
      <c r="O3" s="7" t="s">
        <v>52</v>
      </c>
      <c r="P3" s="7" t="s">
        <v>53</v>
      </c>
      <c r="Q3" s="5" t="str">
        <f aca="false">B3&amp;"|"&amp;D3</f>
        <v>A01|FY_2023</v>
      </c>
      <c r="R3" s="5"/>
      <c r="S3" s="5" t="s">
        <v>54</v>
      </c>
    </row>
    <row r="4" customFormat="false" ht="23.25" hidden="false" customHeight="true" outlineLevel="0" collapsed="false">
      <c r="A4" s="5" t="s">
        <v>60</v>
      </c>
      <c r="B4" s="5" t="s">
        <v>42</v>
      </c>
      <c r="C4" s="5" t="s">
        <v>43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48</v>
      </c>
      <c r="I4" s="6" t="n">
        <v>17695</v>
      </c>
      <c r="J4" s="5" t="n">
        <f aca="false">IF(I4="","",IF(H4="EUR bn",I4*1000,I4))</f>
        <v>17695</v>
      </c>
      <c r="K4" s="5" t="str">
        <f aca="false">IF(H4="EUR bn","EUR m",H4)</f>
        <v>EUR m</v>
      </c>
      <c r="L4" s="5" t="s">
        <v>49</v>
      </c>
      <c r="M4" s="5" t="s">
        <v>50</v>
      </c>
      <c r="N4" s="7" t="s">
        <v>51</v>
      </c>
      <c r="O4" s="7" t="s">
        <v>52</v>
      </c>
      <c r="P4" s="7" t="s">
        <v>53</v>
      </c>
      <c r="Q4" s="5" t="str">
        <f aca="false">B4&amp;"|"&amp;D4</f>
        <v>A01|H1_2024</v>
      </c>
      <c r="R4" s="5"/>
      <c r="S4" s="5" t="s">
        <v>54</v>
      </c>
    </row>
    <row r="5" customFormat="false" ht="23.25" hidden="false" customHeight="true" outlineLevel="0" collapsed="false">
      <c r="A5" s="5" t="s">
        <v>65</v>
      </c>
      <c r="B5" s="5" t="s">
        <v>42</v>
      </c>
      <c r="C5" s="5" t="s">
        <v>43</v>
      </c>
      <c r="D5" s="5" t="s">
        <v>66</v>
      </c>
      <c r="E5" s="5" t="s">
        <v>57</v>
      </c>
      <c r="F5" s="5" t="s">
        <v>67</v>
      </c>
      <c r="G5" s="5" t="s">
        <v>68</v>
      </c>
      <c r="H5" s="5" t="s">
        <v>48</v>
      </c>
      <c r="I5" s="6" t="n">
        <v>36438</v>
      </c>
      <c r="J5" s="5" t="n">
        <f aca="false">IF(I5="","",IF(H5="EUR bn",I5*1000,I5))</f>
        <v>36438</v>
      </c>
      <c r="K5" s="5" t="str">
        <f aca="false">IF(H5="EUR bn","EUR m",H5)</f>
        <v>EUR m</v>
      </c>
      <c r="L5" s="5" t="s">
        <v>49</v>
      </c>
      <c r="M5" s="5" t="s">
        <v>50</v>
      </c>
      <c r="N5" s="7" t="s">
        <v>51</v>
      </c>
      <c r="O5" s="7" t="s">
        <v>52</v>
      </c>
      <c r="P5" s="7" t="s">
        <v>53</v>
      </c>
      <c r="Q5" s="5" t="str">
        <f aca="false">B5&amp;"|"&amp;D5</f>
        <v>A01|FY_2024</v>
      </c>
      <c r="R5" s="5"/>
      <c r="S5" s="5" t="s">
        <v>54</v>
      </c>
    </row>
    <row r="6" customFormat="false" ht="23.25" hidden="false" customHeight="true" outlineLevel="0" collapsed="false">
      <c r="A6" s="5" t="s">
        <v>69</v>
      </c>
      <c r="B6" s="5" t="s">
        <v>42</v>
      </c>
      <c r="C6" s="5" t="s">
        <v>43</v>
      </c>
      <c r="D6" s="5" t="s">
        <v>70</v>
      </c>
      <c r="E6" s="5" t="s">
        <v>71</v>
      </c>
      <c r="F6" s="5" t="s">
        <v>72</v>
      </c>
      <c r="G6" s="5" t="s">
        <v>73</v>
      </c>
      <c r="H6" s="5" t="s">
        <v>48</v>
      </c>
      <c r="I6" s="6" t="n">
        <v>16138</v>
      </c>
      <c r="J6" s="5" t="n">
        <f aca="false">IF(I6="","",IF(H6="EUR bn",I6*1000,I6))</f>
        <v>16138</v>
      </c>
      <c r="K6" s="5" t="str">
        <f aca="false">IF(H6="EUR bn","EUR m",H6)</f>
        <v>EUR m</v>
      </c>
      <c r="L6" s="5" t="s">
        <v>49</v>
      </c>
      <c r="M6" s="5" t="s">
        <v>50</v>
      </c>
      <c r="N6" s="7" t="s">
        <v>51</v>
      </c>
      <c r="O6" s="7" t="s">
        <v>52</v>
      </c>
      <c r="P6" s="7" t="s">
        <v>53</v>
      </c>
      <c r="Q6" s="5" t="str">
        <f aca="false">B6&amp;"|"&amp;D6</f>
        <v>A01|H1_2025</v>
      </c>
      <c r="R6" s="5"/>
      <c r="S6" s="5" t="s">
        <v>54</v>
      </c>
    </row>
    <row r="7" customFormat="false" ht="23.25" hidden="false" customHeight="true" outlineLevel="0" collapsed="false">
      <c r="A7" s="5" t="s">
        <v>74</v>
      </c>
      <c r="B7" s="5" t="s">
        <v>42</v>
      </c>
      <c r="C7" s="5" t="s">
        <v>43</v>
      </c>
      <c r="D7" s="5" t="s">
        <v>75</v>
      </c>
      <c r="E7" s="5" t="s">
        <v>76</v>
      </c>
      <c r="F7" s="5" t="s">
        <v>67</v>
      </c>
      <c r="G7" s="5" t="s">
        <v>77</v>
      </c>
      <c r="H7" s="5" t="s">
        <v>48</v>
      </c>
      <c r="I7" s="6" t="n">
        <v>32185</v>
      </c>
      <c r="J7" s="5" t="n">
        <f aca="false">IF(I7="","",IF(H7="EUR bn",I7*1000,I7))</f>
        <v>32185</v>
      </c>
      <c r="K7" s="5" t="str">
        <f aca="false">IF(H7="EUR bn","EUR m",H7)</f>
        <v>EUR m</v>
      </c>
      <c r="L7" s="5" t="s">
        <v>49</v>
      </c>
      <c r="M7" s="5" t="s">
        <v>50</v>
      </c>
      <c r="N7" s="7" t="s">
        <v>51</v>
      </c>
      <c r="O7" s="7" t="s">
        <v>52</v>
      </c>
      <c r="P7" s="7" t="s">
        <v>53</v>
      </c>
      <c r="Q7" s="5" t="str">
        <f aca="false">B7&amp;"|"&amp;D7</f>
        <v>A01|FY_2025</v>
      </c>
      <c r="R7" s="5"/>
      <c r="S7" s="5" t="s">
        <v>54</v>
      </c>
    </row>
    <row r="8" customFormat="false" ht="23.25" hidden="false" customHeight="true" outlineLevel="0" collapsed="false">
      <c r="A8" s="5" t="s">
        <v>78</v>
      </c>
      <c r="B8" s="5" t="s">
        <v>42</v>
      </c>
      <c r="C8" s="5" t="s">
        <v>43</v>
      </c>
      <c r="D8" s="5" t="s">
        <v>79</v>
      </c>
      <c r="E8" s="5" t="s">
        <v>80</v>
      </c>
      <c r="F8" s="5" t="s">
        <v>81</v>
      </c>
      <c r="G8" s="5" t="s">
        <v>82</v>
      </c>
      <c r="H8" s="5" t="s">
        <v>48</v>
      </c>
      <c r="I8" s="6" t="n">
        <v>15158</v>
      </c>
      <c r="J8" s="5" t="n">
        <f aca="false">IF(I8="","",IF(H8="EUR bn",I8*1000,I8))</f>
        <v>15158</v>
      </c>
      <c r="K8" s="5" t="str">
        <f aca="false">IF(H8="EUR bn","EUR m",H8)</f>
        <v>EUR m</v>
      </c>
      <c r="L8" s="5" t="s">
        <v>49</v>
      </c>
      <c r="M8" s="5" t="s">
        <v>50</v>
      </c>
      <c r="N8" s="7" t="s">
        <v>51</v>
      </c>
      <c r="O8" s="7" t="s">
        <v>52</v>
      </c>
      <c r="P8" s="7" t="s">
        <v>53</v>
      </c>
      <c r="Q8" s="5" t="str">
        <f aca="false">B8&amp;"|"&amp;D8</f>
        <v>A01|H1_2026</v>
      </c>
      <c r="R8" s="5"/>
      <c r="S8" s="5" t="s">
        <v>54</v>
      </c>
    </row>
    <row r="9" customFormat="false" ht="23.25" hidden="false" customHeight="true" outlineLevel="0" collapsed="false">
      <c r="A9" s="5" t="s">
        <v>83</v>
      </c>
      <c r="B9" s="5" t="s">
        <v>84</v>
      </c>
      <c r="C9" s="5" t="s">
        <v>85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  <c r="I9" s="6" t="n">
        <v>3653</v>
      </c>
      <c r="J9" s="5" t="n">
        <f aca="false">IF(I9="","",IF(H9="EUR bn",I9*1000,I9))</f>
        <v>3653</v>
      </c>
      <c r="K9" s="5" t="str">
        <f aca="false">IF(H9="EUR bn","EUR m",H9)</f>
        <v>EUR m</v>
      </c>
      <c r="L9" s="5" t="s">
        <v>49</v>
      </c>
      <c r="M9" s="5" t="s">
        <v>50</v>
      </c>
      <c r="N9" s="7" t="s">
        <v>51</v>
      </c>
      <c r="O9" s="7" t="s">
        <v>52</v>
      </c>
      <c r="P9" s="7" t="s">
        <v>53</v>
      </c>
      <c r="Q9" s="5" t="str">
        <f aca="false">B9&amp;"|"&amp;D9</f>
        <v>A02|H1_2023</v>
      </c>
      <c r="R9" s="5"/>
      <c r="S9" s="5" t="s">
        <v>54</v>
      </c>
    </row>
    <row r="10" customFormat="false" ht="23.25" hidden="false" customHeight="true" outlineLevel="0" collapsed="false">
      <c r="A10" s="5" t="s">
        <v>86</v>
      </c>
      <c r="B10" s="5" t="s">
        <v>84</v>
      </c>
      <c r="C10" s="5" t="s">
        <v>85</v>
      </c>
      <c r="D10" s="5" t="s">
        <v>56</v>
      </c>
      <c r="E10" s="5" t="s">
        <v>57</v>
      </c>
      <c r="F10" s="5" t="s">
        <v>58</v>
      </c>
      <c r="G10" s="5" t="s">
        <v>59</v>
      </c>
      <c r="H10" s="5" t="s">
        <v>48</v>
      </c>
      <c r="I10" s="6" t="n">
        <v>6938</v>
      </c>
      <c r="J10" s="5" t="n">
        <f aca="false">IF(I10="","",IF(H10="EUR bn",I10*1000,I10))</f>
        <v>6938</v>
      </c>
      <c r="K10" s="5" t="str">
        <f aca="false">IF(H10="EUR bn","EUR m",H10)</f>
        <v>EUR m</v>
      </c>
      <c r="L10" s="5" t="s">
        <v>49</v>
      </c>
      <c r="M10" s="5" t="s">
        <v>50</v>
      </c>
      <c r="N10" s="7" t="s">
        <v>51</v>
      </c>
      <c r="O10" s="7" t="s">
        <v>52</v>
      </c>
      <c r="P10" s="7" t="s">
        <v>53</v>
      </c>
      <c r="Q10" s="5" t="str">
        <f aca="false">B10&amp;"|"&amp;D10</f>
        <v>A02|FY_2023</v>
      </c>
      <c r="R10" s="5"/>
      <c r="S10" s="5" t="s">
        <v>54</v>
      </c>
    </row>
    <row r="11" customFormat="false" ht="23.25" hidden="false" customHeight="true" outlineLevel="0" collapsed="false">
      <c r="A11" s="5" t="s">
        <v>87</v>
      </c>
      <c r="B11" s="5" t="s">
        <v>84</v>
      </c>
      <c r="C11" s="5" t="s">
        <v>85</v>
      </c>
      <c r="D11" s="5" t="s">
        <v>61</v>
      </c>
      <c r="E11" s="5" t="s">
        <v>62</v>
      </c>
      <c r="F11" s="5" t="s">
        <v>63</v>
      </c>
      <c r="G11" s="5" t="s">
        <v>64</v>
      </c>
      <c r="H11" s="5" t="s">
        <v>48</v>
      </c>
      <c r="I11" s="6" t="n">
        <v>2904</v>
      </c>
      <c r="J11" s="5" t="n">
        <f aca="false">IF(I11="","",IF(H11="EUR bn",I11*1000,I11))</f>
        <v>2904</v>
      </c>
      <c r="K11" s="5" t="str">
        <f aca="false">IF(H11="EUR bn","EUR m",H11)</f>
        <v>EUR m</v>
      </c>
      <c r="L11" s="5" t="s">
        <v>49</v>
      </c>
      <c r="M11" s="5" t="s">
        <v>50</v>
      </c>
      <c r="N11" s="7" t="s">
        <v>51</v>
      </c>
      <c r="O11" s="7" t="s">
        <v>52</v>
      </c>
      <c r="P11" s="7" t="s">
        <v>53</v>
      </c>
      <c r="Q11" s="5" t="str">
        <f aca="false">B11&amp;"|"&amp;D11</f>
        <v>A02|H1_2024</v>
      </c>
      <c r="R11" s="5"/>
      <c r="S11" s="5" t="s">
        <v>54</v>
      </c>
    </row>
    <row r="12" customFormat="false" ht="23.25" hidden="false" customHeight="true" outlineLevel="0" collapsed="false">
      <c r="A12" s="5" t="s">
        <v>88</v>
      </c>
      <c r="B12" s="5" t="s">
        <v>84</v>
      </c>
      <c r="C12" s="5" t="s">
        <v>85</v>
      </c>
      <c r="D12" s="5" t="s">
        <v>66</v>
      </c>
      <c r="E12" s="5" t="s">
        <v>76</v>
      </c>
      <c r="F12" s="5" t="s">
        <v>89</v>
      </c>
      <c r="G12" s="5" t="s">
        <v>68</v>
      </c>
      <c r="H12" s="5" t="s">
        <v>48</v>
      </c>
      <c r="I12" s="6" t="n">
        <v>5286</v>
      </c>
      <c r="J12" s="5" t="n">
        <f aca="false">IF(I12="","",IF(H12="EUR bn",I12*1000,I12))</f>
        <v>5286</v>
      </c>
      <c r="K12" s="5" t="str">
        <f aca="false">IF(H12="EUR bn","EUR m",H12)</f>
        <v>EUR m</v>
      </c>
      <c r="L12" s="5" t="s">
        <v>49</v>
      </c>
      <c r="M12" s="5" t="s">
        <v>50</v>
      </c>
      <c r="N12" s="7" t="s">
        <v>51</v>
      </c>
      <c r="O12" s="7" t="s">
        <v>52</v>
      </c>
      <c r="P12" s="7" t="s">
        <v>90</v>
      </c>
      <c r="Q12" s="5" t="str">
        <f aca="false">B12&amp;"|"&amp;D12</f>
        <v>A02|FY_2024</v>
      </c>
      <c r="R12" s="5"/>
      <c r="S12" s="5" t="s">
        <v>54</v>
      </c>
    </row>
    <row r="13" customFormat="false" ht="23.25" hidden="false" customHeight="true" outlineLevel="0" collapsed="false">
      <c r="A13" s="5" t="s">
        <v>91</v>
      </c>
      <c r="B13" s="5" t="s">
        <v>84</v>
      </c>
      <c r="C13" s="5" t="s">
        <v>85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48</v>
      </c>
      <c r="I13" s="6" t="n">
        <v>832</v>
      </c>
      <c r="J13" s="5" t="n">
        <f aca="false">IF(I13="","",IF(H13="EUR bn",I13*1000,I13))</f>
        <v>832</v>
      </c>
      <c r="K13" s="5" t="str">
        <f aca="false">IF(H13="EUR bn","EUR m",H13)</f>
        <v>EUR m</v>
      </c>
      <c r="L13" s="5" t="s">
        <v>49</v>
      </c>
      <c r="M13" s="5" t="s">
        <v>50</v>
      </c>
      <c r="N13" s="7" t="s">
        <v>51</v>
      </c>
      <c r="O13" s="7" t="s">
        <v>52</v>
      </c>
      <c r="P13" s="7" t="s">
        <v>53</v>
      </c>
      <c r="Q13" s="5" t="str">
        <f aca="false">B13&amp;"|"&amp;D13</f>
        <v>A02|H1_2025</v>
      </c>
      <c r="R13" s="5"/>
      <c r="S13" s="5" t="s">
        <v>54</v>
      </c>
    </row>
    <row r="14" customFormat="false" ht="23.25" hidden="false" customHeight="true" outlineLevel="0" collapsed="false">
      <c r="A14" s="5" t="s">
        <v>92</v>
      </c>
      <c r="B14" s="5" t="s">
        <v>84</v>
      </c>
      <c r="C14" s="5" t="s">
        <v>85</v>
      </c>
      <c r="D14" s="5" t="s">
        <v>75</v>
      </c>
      <c r="E14" s="5" t="s">
        <v>76</v>
      </c>
      <c r="F14" s="5" t="s">
        <v>67</v>
      </c>
      <c r="G14" s="5" t="s">
        <v>77</v>
      </c>
      <c r="H14" s="5" t="s">
        <v>48</v>
      </c>
      <c r="I14" s="6" t="n">
        <v>90</v>
      </c>
      <c r="J14" s="5" t="n">
        <f aca="false">IF(I14="","",IF(H14="EUR bn",I14*1000,I14))</f>
        <v>90</v>
      </c>
      <c r="K14" s="5" t="str">
        <f aca="false">IF(H14="EUR bn","EUR m",H14)</f>
        <v>EUR m</v>
      </c>
      <c r="L14" s="5" t="s">
        <v>49</v>
      </c>
      <c r="M14" s="5" t="s">
        <v>50</v>
      </c>
      <c r="N14" s="7" t="s">
        <v>51</v>
      </c>
      <c r="O14" s="7" t="s">
        <v>52</v>
      </c>
      <c r="P14" s="7" t="s">
        <v>53</v>
      </c>
      <c r="Q14" s="5" t="str">
        <f aca="false">B14&amp;"|"&amp;D14</f>
        <v>A02|FY_2025</v>
      </c>
      <c r="R14" s="5"/>
      <c r="S14" s="5" t="s">
        <v>54</v>
      </c>
    </row>
    <row r="15" customFormat="false" ht="23.25" hidden="false" customHeight="true" outlineLevel="0" collapsed="false">
      <c r="A15" s="5" t="s">
        <v>93</v>
      </c>
      <c r="B15" s="5" t="s">
        <v>84</v>
      </c>
      <c r="C15" s="5" t="s">
        <v>85</v>
      </c>
      <c r="D15" s="5" t="s">
        <v>79</v>
      </c>
      <c r="E15" s="5" t="s">
        <v>80</v>
      </c>
      <c r="F15" s="5" t="s">
        <v>81</v>
      </c>
      <c r="G15" s="5" t="s">
        <v>82</v>
      </c>
      <c r="H15" s="5" t="s">
        <v>48</v>
      </c>
      <c r="I15" s="6" t="n">
        <v>1208</v>
      </c>
      <c r="J15" s="5" t="n">
        <f aca="false">IF(I15="","",IF(H15="EUR bn",I15*1000,I15))</f>
        <v>1208</v>
      </c>
      <c r="K15" s="5" t="str">
        <f aca="false">IF(H15="EUR bn","EUR m",H15)</f>
        <v>EUR m</v>
      </c>
      <c r="L15" s="5" t="s">
        <v>49</v>
      </c>
      <c r="M15" s="5" t="s">
        <v>50</v>
      </c>
      <c r="N15" s="7" t="s">
        <v>51</v>
      </c>
      <c r="O15" s="7" t="s">
        <v>52</v>
      </c>
      <c r="P15" s="7" t="s">
        <v>53</v>
      </c>
      <c r="Q15" s="5" t="str">
        <f aca="false">B15&amp;"|"&amp;D15</f>
        <v>A02|H1_2026</v>
      </c>
      <c r="R15" s="5"/>
      <c r="S15" s="5" t="s">
        <v>54</v>
      </c>
    </row>
    <row r="16" customFormat="false" ht="23.25" hidden="false" customHeight="true" outlineLevel="0" collapsed="false">
      <c r="A16" s="5" t="s">
        <v>94</v>
      </c>
      <c r="B16" s="5" t="s">
        <v>95</v>
      </c>
      <c r="C16" s="5" t="s">
        <v>96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6" t="n">
        <v>4829</v>
      </c>
      <c r="J16" s="5" t="n">
        <f aca="false">IF(I16="","",IF(H16="EUR bn",I16*1000,I16))</f>
        <v>4829</v>
      </c>
      <c r="K16" s="5" t="str">
        <f aca="false">IF(H16="EUR bn","EUR m",H16)</f>
        <v>EUR m</v>
      </c>
      <c r="L16" s="5" t="s">
        <v>49</v>
      </c>
      <c r="M16" s="5" t="s">
        <v>50</v>
      </c>
      <c r="N16" s="7" t="s">
        <v>51</v>
      </c>
      <c r="O16" s="7" t="s">
        <v>52</v>
      </c>
      <c r="P16" s="7" t="s">
        <v>53</v>
      </c>
      <c r="Q16" s="5" t="str">
        <f aca="false">B16&amp;"|"&amp;D16</f>
        <v>A03|H1_2023</v>
      </c>
      <c r="R16" s="5"/>
      <c r="S16" s="5" t="s">
        <v>54</v>
      </c>
    </row>
    <row r="17" customFormat="false" ht="23.25" hidden="false" customHeight="true" outlineLevel="0" collapsed="false">
      <c r="A17" s="5" t="s">
        <v>97</v>
      </c>
      <c r="B17" s="5" t="s">
        <v>95</v>
      </c>
      <c r="C17" s="5" t="s">
        <v>96</v>
      </c>
      <c r="D17" s="5" t="s">
        <v>56</v>
      </c>
      <c r="E17" s="5" t="s">
        <v>57</v>
      </c>
      <c r="F17" s="5" t="s">
        <v>58</v>
      </c>
      <c r="G17" s="5" t="s">
        <v>59</v>
      </c>
      <c r="H17" s="5" t="s">
        <v>48</v>
      </c>
      <c r="I17" s="6" t="n">
        <v>9594</v>
      </c>
      <c r="J17" s="5" t="n">
        <f aca="false">IF(I17="","",IF(H17="EUR bn",I17*1000,I17))</f>
        <v>9594</v>
      </c>
      <c r="K17" s="5" t="str">
        <f aca="false">IF(H17="EUR bn","EUR m",H17)</f>
        <v>EUR m</v>
      </c>
      <c r="L17" s="5" t="s">
        <v>49</v>
      </c>
      <c r="M17" s="5" t="s">
        <v>50</v>
      </c>
      <c r="N17" s="7" t="s">
        <v>51</v>
      </c>
      <c r="O17" s="7" t="s">
        <v>52</v>
      </c>
      <c r="P17" s="7" t="s">
        <v>53</v>
      </c>
      <c r="Q17" s="5" t="str">
        <f aca="false">B17&amp;"|"&amp;D17</f>
        <v>A03|FY_2023</v>
      </c>
      <c r="R17" s="5"/>
      <c r="S17" s="5" t="s">
        <v>54</v>
      </c>
    </row>
    <row r="18" customFormat="false" ht="23.25" hidden="false" customHeight="true" outlineLevel="0" collapsed="false">
      <c r="A18" s="5" t="s">
        <v>98</v>
      </c>
      <c r="B18" s="5" t="s">
        <v>95</v>
      </c>
      <c r="C18" s="5" t="s">
        <v>96</v>
      </c>
      <c r="D18" s="5" t="s">
        <v>61</v>
      </c>
      <c r="E18" s="5" t="s">
        <v>62</v>
      </c>
      <c r="F18" s="5" t="s">
        <v>63</v>
      </c>
      <c r="G18" s="5" t="s">
        <v>64</v>
      </c>
      <c r="H18" s="5" t="s">
        <v>48</v>
      </c>
      <c r="I18" s="6" t="n">
        <v>4268</v>
      </c>
      <c r="J18" s="5" t="n">
        <f aca="false">IF(I18="","",IF(H18="EUR bn",I18*1000,I18))</f>
        <v>4268</v>
      </c>
      <c r="K18" s="5" t="str">
        <f aca="false">IF(H18="EUR bn","EUR m",H18)</f>
        <v>EUR m</v>
      </c>
      <c r="L18" s="5" t="s">
        <v>49</v>
      </c>
      <c r="M18" s="5" t="s">
        <v>50</v>
      </c>
      <c r="N18" s="7" t="s">
        <v>51</v>
      </c>
      <c r="O18" s="7" t="s">
        <v>52</v>
      </c>
      <c r="P18" s="7" t="s">
        <v>53</v>
      </c>
      <c r="Q18" s="5" t="str">
        <f aca="false">B18&amp;"|"&amp;D18</f>
        <v>A03|H1_2024</v>
      </c>
      <c r="R18" s="5"/>
      <c r="S18" s="5" t="s">
        <v>54</v>
      </c>
    </row>
    <row r="19" customFormat="false" ht="23.25" hidden="false" customHeight="true" outlineLevel="0" collapsed="false">
      <c r="A19" s="5" t="s">
        <v>99</v>
      </c>
      <c r="B19" s="5" t="s">
        <v>95</v>
      </c>
      <c r="C19" s="5" t="s">
        <v>96</v>
      </c>
      <c r="D19" s="5" t="s">
        <v>66</v>
      </c>
      <c r="E19" s="5" t="s">
        <v>76</v>
      </c>
      <c r="F19" s="5" t="s">
        <v>89</v>
      </c>
      <c r="G19" s="5" t="s">
        <v>68</v>
      </c>
      <c r="H19" s="5" t="s">
        <v>48</v>
      </c>
      <c r="I19" s="6" t="n">
        <v>8271</v>
      </c>
      <c r="J19" s="5" t="n">
        <f aca="false">IF(I19="","",IF(H19="EUR bn",I19*1000,I19))</f>
        <v>8271</v>
      </c>
      <c r="K19" s="5" t="str">
        <f aca="false">IF(H19="EUR bn","EUR m",H19)</f>
        <v>EUR m</v>
      </c>
      <c r="L19" s="5" t="s">
        <v>49</v>
      </c>
      <c r="M19" s="5" t="s">
        <v>50</v>
      </c>
      <c r="N19" s="7" t="s">
        <v>51</v>
      </c>
      <c r="O19" s="7" t="s">
        <v>52</v>
      </c>
      <c r="P19" s="7" t="s">
        <v>90</v>
      </c>
      <c r="Q19" s="5" t="str">
        <f aca="false">B19&amp;"|"&amp;D19</f>
        <v>A03|FY_2024</v>
      </c>
      <c r="R19" s="5"/>
      <c r="S19" s="5" t="s">
        <v>54</v>
      </c>
    </row>
    <row r="20" customFormat="false" ht="23.25" hidden="false" customHeight="true" outlineLevel="0" collapsed="false">
      <c r="A20" s="5" t="s">
        <v>100</v>
      </c>
      <c r="B20" s="5" t="s">
        <v>95</v>
      </c>
      <c r="C20" s="5" t="s">
        <v>96</v>
      </c>
      <c r="D20" s="5" t="s">
        <v>70</v>
      </c>
      <c r="E20" s="5" t="s">
        <v>71</v>
      </c>
      <c r="F20" s="5" t="s">
        <v>72</v>
      </c>
      <c r="G20" s="5" t="s">
        <v>73</v>
      </c>
      <c r="H20" s="5" t="s">
        <v>48</v>
      </c>
      <c r="I20" s="6" t="n">
        <v>2588</v>
      </c>
      <c r="J20" s="5" t="n">
        <f aca="false">IF(I20="","",IF(H20="EUR bn",I20*1000,I20))</f>
        <v>2588</v>
      </c>
      <c r="K20" s="5" t="str">
        <f aca="false">IF(H20="EUR bn","EUR m",H20)</f>
        <v>EUR m</v>
      </c>
      <c r="L20" s="5" t="s">
        <v>49</v>
      </c>
      <c r="M20" s="5" t="s">
        <v>50</v>
      </c>
      <c r="N20" s="7" t="s">
        <v>51</v>
      </c>
      <c r="O20" s="7" t="s">
        <v>52</v>
      </c>
      <c r="P20" s="7" t="s">
        <v>53</v>
      </c>
      <c r="Q20" s="5" t="str">
        <f aca="false">B20&amp;"|"&amp;D20</f>
        <v>A03|H1_2025</v>
      </c>
      <c r="R20" s="5"/>
      <c r="S20" s="5" t="s">
        <v>54</v>
      </c>
    </row>
    <row r="21" customFormat="false" ht="23.25" hidden="false" customHeight="true" outlineLevel="0" collapsed="false">
      <c r="A21" s="5" t="s">
        <v>101</v>
      </c>
      <c r="B21" s="5" t="s">
        <v>95</v>
      </c>
      <c r="C21" s="5" t="s">
        <v>96</v>
      </c>
      <c r="D21" s="5" t="s">
        <v>75</v>
      </c>
      <c r="E21" s="5" t="s">
        <v>76</v>
      </c>
      <c r="F21" s="5" t="s">
        <v>67</v>
      </c>
      <c r="G21" s="5" t="s">
        <v>77</v>
      </c>
      <c r="H21" s="5" t="s">
        <v>48</v>
      </c>
      <c r="I21" s="6" t="n">
        <v>4282</v>
      </c>
      <c r="J21" s="5" t="n">
        <f aca="false">IF(I21="","",IF(H21="EUR bn",I21*1000,I21))</f>
        <v>4282</v>
      </c>
      <c r="K21" s="5" t="str">
        <f aca="false">IF(H21="EUR bn","EUR m",H21)</f>
        <v>EUR m</v>
      </c>
      <c r="L21" s="5" t="s">
        <v>49</v>
      </c>
      <c r="M21" s="5" t="s">
        <v>50</v>
      </c>
      <c r="N21" s="7" t="s">
        <v>51</v>
      </c>
      <c r="O21" s="7" t="s">
        <v>52</v>
      </c>
      <c r="P21" s="7" t="s">
        <v>53</v>
      </c>
      <c r="Q21" s="5" t="str">
        <f aca="false">B21&amp;"|"&amp;D21</f>
        <v>A03|FY_2025</v>
      </c>
      <c r="R21" s="5"/>
      <c r="S21" s="5" t="s">
        <v>54</v>
      </c>
    </row>
    <row r="22" customFormat="false" ht="23.25" hidden="false" customHeight="true" outlineLevel="0" collapsed="false">
      <c r="A22" s="5" t="s">
        <v>102</v>
      </c>
      <c r="B22" s="5" t="s">
        <v>95</v>
      </c>
      <c r="C22" s="5" t="s">
        <v>96</v>
      </c>
      <c r="D22" s="5" t="s">
        <v>79</v>
      </c>
      <c r="E22" s="5" t="s">
        <v>80</v>
      </c>
      <c r="F22" s="5" t="s">
        <v>81</v>
      </c>
      <c r="G22" s="5" t="s">
        <v>82</v>
      </c>
      <c r="H22" s="5" t="s">
        <v>48</v>
      </c>
      <c r="I22" s="6" t="n">
        <v>2767</v>
      </c>
      <c r="J22" s="5" t="n">
        <f aca="false">IF(I22="","",IF(H22="EUR bn",I22*1000,I22))</f>
        <v>2767</v>
      </c>
      <c r="K22" s="5" t="str">
        <f aca="false">IF(H22="EUR bn","EUR m",H22)</f>
        <v>EUR m</v>
      </c>
      <c r="L22" s="5" t="s">
        <v>49</v>
      </c>
      <c r="M22" s="5" t="s">
        <v>50</v>
      </c>
      <c r="N22" s="7" t="s">
        <v>51</v>
      </c>
      <c r="O22" s="7" t="s">
        <v>52</v>
      </c>
      <c r="P22" s="7" t="s">
        <v>53</v>
      </c>
      <c r="Q22" s="5" t="str">
        <f aca="false">B22&amp;"|"&amp;D22</f>
        <v>A03|H1_2026</v>
      </c>
      <c r="R22" s="5"/>
      <c r="S22" s="5" t="s">
        <v>54</v>
      </c>
    </row>
    <row r="23" customFormat="false" ht="23.25" hidden="false" customHeight="true" outlineLevel="0" collapsed="false">
      <c r="A23" s="5" t="s">
        <v>103</v>
      </c>
      <c r="B23" s="5" t="s">
        <v>104</v>
      </c>
      <c r="C23" s="5" t="s">
        <v>105</v>
      </c>
      <c r="D23" s="5" t="s">
        <v>44</v>
      </c>
      <c r="E23" s="5" t="s">
        <v>45</v>
      </c>
      <c r="F23" s="5" t="s">
        <v>46</v>
      </c>
      <c r="G23" s="5" t="s">
        <v>47</v>
      </c>
      <c r="H23" s="5" t="s">
        <v>106</v>
      </c>
      <c r="I23" s="6" t="n">
        <v>25.6</v>
      </c>
      <c r="J23" s="5" t="n">
        <f aca="false">IF(I23="","",IF(H23="EUR bn",I23*1000,I23))</f>
        <v>25.6</v>
      </c>
      <c r="K23" s="5" t="str">
        <f aca="false">IF(H23="EUR bn","EUR m",H23)</f>
        <v>%</v>
      </c>
      <c r="L23" s="5" t="s">
        <v>49</v>
      </c>
      <c r="M23" s="5" t="s">
        <v>107</v>
      </c>
      <c r="N23" s="7" t="s">
        <v>51</v>
      </c>
      <c r="O23" s="7" t="s">
        <v>52</v>
      </c>
      <c r="P23" s="7" t="s">
        <v>53</v>
      </c>
      <c r="Q23" s="5" t="str">
        <f aca="false">B23&amp;"|"&amp;D23</f>
        <v>A04|H1_2023</v>
      </c>
      <c r="R23" s="5" t="s">
        <v>108</v>
      </c>
      <c r="S23" s="5" t="s">
        <v>54</v>
      </c>
    </row>
    <row r="24" customFormat="false" ht="23.25" hidden="false" customHeight="true" outlineLevel="0" collapsed="false">
      <c r="A24" s="5" t="s">
        <v>109</v>
      </c>
      <c r="B24" s="5" t="s">
        <v>104</v>
      </c>
      <c r="C24" s="5" t="s">
        <v>105</v>
      </c>
      <c r="D24" s="5" t="s">
        <v>56</v>
      </c>
      <c r="E24" s="5" t="s">
        <v>57</v>
      </c>
      <c r="F24" s="5" t="s">
        <v>58</v>
      </c>
      <c r="G24" s="5" t="s">
        <v>59</v>
      </c>
      <c r="H24" s="5" t="s">
        <v>106</v>
      </c>
      <c r="I24" s="6" t="n">
        <v>25.7</v>
      </c>
      <c r="J24" s="5" t="n">
        <f aca="false">IF(I24="","",IF(H24="EUR bn",I24*1000,I24))</f>
        <v>25.7</v>
      </c>
      <c r="K24" s="5" t="str">
        <f aca="false">IF(H24="EUR bn","EUR m",H24)</f>
        <v>%</v>
      </c>
      <c r="L24" s="5" t="s">
        <v>49</v>
      </c>
      <c r="M24" s="5" t="s">
        <v>107</v>
      </c>
      <c r="N24" s="7" t="s">
        <v>51</v>
      </c>
      <c r="O24" s="7" t="s">
        <v>52</v>
      </c>
      <c r="P24" s="7" t="s">
        <v>53</v>
      </c>
      <c r="Q24" s="5" t="str">
        <f aca="false">B24&amp;"|"&amp;D24</f>
        <v>A04|FY_2023</v>
      </c>
      <c r="R24" s="5" t="s">
        <v>108</v>
      </c>
      <c r="S24" s="5" t="s">
        <v>54</v>
      </c>
    </row>
    <row r="25" customFormat="false" ht="23.25" hidden="false" customHeight="true" outlineLevel="0" collapsed="false">
      <c r="A25" s="5" t="s">
        <v>110</v>
      </c>
      <c r="B25" s="5" t="s">
        <v>104</v>
      </c>
      <c r="C25" s="5" t="s">
        <v>105</v>
      </c>
      <c r="D25" s="5" t="s">
        <v>61</v>
      </c>
      <c r="E25" s="5" t="s">
        <v>62</v>
      </c>
      <c r="F25" s="5" t="s">
        <v>63</v>
      </c>
      <c r="G25" s="5" t="s">
        <v>64</v>
      </c>
      <c r="H25" s="5" t="s">
        <v>106</v>
      </c>
      <c r="I25" s="6" t="n">
        <v>24.1</v>
      </c>
      <c r="J25" s="5" t="n">
        <f aca="false">IF(I25="","",IF(H25="EUR bn",I25*1000,I25))</f>
        <v>24.1</v>
      </c>
      <c r="K25" s="5" t="str">
        <f aca="false">IF(H25="EUR bn","EUR m",H25)</f>
        <v>%</v>
      </c>
      <c r="L25" s="5" t="s">
        <v>49</v>
      </c>
      <c r="M25" s="5" t="s">
        <v>107</v>
      </c>
      <c r="N25" s="7" t="s">
        <v>51</v>
      </c>
      <c r="O25" s="7" t="s">
        <v>52</v>
      </c>
      <c r="P25" s="7" t="s">
        <v>53</v>
      </c>
      <c r="Q25" s="5" t="str">
        <f aca="false">B25&amp;"|"&amp;D25</f>
        <v>A04|H1_2024</v>
      </c>
      <c r="R25" s="5" t="s">
        <v>108</v>
      </c>
      <c r="S25" s="5" t="s">
        <v>54</v>
      </c>
    </row>
    <row r="26" customFormat="false" ht="23.25" hidden="false" customHeight="true" outlineLevel="0" collapsed="false">
      <c r="A26" s="5" t="s">
        <v>111</v>
      </c>
      <c r="B26" s="5" t="s">
        <v>104</v>
      </c>
      <c r="C26" s="5" t="s">
        <v>105</v>
      </c>
      <c r="D26" s="5" t="s">
        <v>66</v>
      </c>
      <c r="E26" s="5" t="s">
        <v>57</v>
      </c>
      <c r="F26" s="5" t="s">
        <v>67</v>
      </c>
      <c r="G26" s="5" t="s">
        <v>68</v>
      </c>
      <c r="H26" s="5" t="s">
        <v>106</v>
      </c>
      <c r="I26" s="6" t="n">
        <v>22.7</v>
      </c>
      <c r="J26" s="5" t="n">
        <f aca="false">IF(I26="","",IF(H26="EUR bn",I26*1000,I26))</f>
        <v>22.7</v>
      </c>
      <c r="K26" s="5" t="str">
        <f aca="false">IF(H26="EUR bn","EUR m",H26)</f>
        <v>%</v>
      </c>
      <c r="L26" s="5" t="s">
        <v>49</v>
      </c>
      <c r="M26" s="5" t="s">
        <v>107</v>
      </c>
      <c r="N26" s="7" t="s">
        <v>51</v>
      </c>
      <c r="O26" s="7" t="s">
        <v>52</v>
      </c>
      <c r="P26" s="7" t="s">
        <v>53</v>
      </c>
      <c r="Q26" s="5" t="str">
        <f aca="false">B26&amp;"|"&amp;D26</f>
        <v>A04|FY_2024</v>
      </c>
      <c r="R26" s="5" t="s">
        <v>108</v>
      </c>
      <c r="S26" s="5" t="s">
        <v>54</v>
      </c>
    </row>
    <row r="27" customFormat="false" ht="23.25" hidden="false" customHeight="true" outlineLevel="0" collapsed="false">
      <c r="A27" s="5" t="s">
        <v>112</v>
      </c>
      <c r="B27" s="5" t="s">
        <v>104</v>
      </c>
      <c r="C27" s="5" t="s">
        <v>105</v>
      </c>
      <c r="D27" s="5" t="s">
        <v>70</v>
      </c>
      <c r="E27" s="5" t="s">
        <v>71</v>
      </c>
      <c r="F27" s="5" t="s">
        <v>72</v>
      </c>
      <c r="G27" s="5" t="s">
        <v>73</v>
      </c>
      <c r="H27" s="5" t="s">
        <v>106</v>
      </c>
      <c r="I27" s="6" t="n">
        <v>16</v>
      </c>
      <c r="J27" s="5" t="n">
        <f aca="false">IF(I27="","",IF(H27="EUR bn",I27*1000,I27))</f>
        <v>16</v>
      </c>
      <c r="K27" s="5" t="str">
        <f aca="false">IF(H27="EUR bn","EUR m",H27)</f>
        <v>%</v>
      </c>
      <c r="L27" s="5" t="s">
        <v>49</v>
      </c>
      <c r="M27" s="5" t="s">
        <v>107</v>
      </c>
      <c r="N27" s="7" t="s">
        <v>51</v>
      </c>
      <c r="O27" s="7" t="s">
        <v>52</v>
      </c>
      <c r="P27" s="7" t="s">
        <v>53</v>
      </c>
      <c r="Q27" s="5" t="str">
        <f aca="false">B27&amp;"|"&amp;D27</f>
        <v>A04|H1_2025</v>
      </c>
      <c r="R27" s="5" t="s">
        <v>108</v>
      </c>
      <c r="S27" s="5" t="s">
        <v>54</v>
      </c>
    </row>
    <row r="28" customFormat="false" ht="23.25" hidden="false" customHeight="true" outlineLevel="0" collapsed="false">
      <c r="A28" s="5" t="s">
        <v>113</v>
      </c>
      <c r="B28" s="5" t="s">
        <v>104</v>
      </c>
      <c r="C28" s="5" t="s">
        <v>105</v>
      </c>
      <c r="D28" s="5" t="s">
        <v>75</v>
      </c>
      <c r="E28" s="5" t="s">
        <v>76</v>
      </c>
      <c r="F28" s="5" t="s">
        <v>67</v>
      </c>
      <c r="G28" s="5" t="s">
        <v>77</v>
      </c>
      <c r="H28" s="5" t="s">
        <v>106</v>
      </c>
      <c r="I28" s="6" t="n">
        <v>13.3</v>
      </c>
      <c r="J28" s="5" t="n">
        <f aca="false">IF(I28="","",IF(H28="EUR bn",I28*1000,I28))</f>
        <v>13.3</v>
      </c>
      <c r="K28" s="5" t="str">
        <f aca="false">IF(H28="EUR bn","EUR m",H28)</f>
        <v>%</v>
      </c>
      <c r="L28" s="5" t="s">
        <v>49</v>
      </c>
      <c r="M28" s="5" t="s">
        <v>107</v>
      </c>
      <c r="N28" s="7" t="s">
        <v>51</v>
      </c>
      <c r="O28" s="7" t="s">
        <v>52</v>
      </c>
      <c r="P28" s="7" t="s">
        <v>53</v>
      </c>
      <c r="Q28" s="5" t="str">
        <f aca="false">B28&amp;"|"&amp;D28</f>
        <v>A04|FY_2025</v>
      </c>
      <c r="R28" s="5" t="s">
        <v>108</v>
      </c>
      <c r="S28" s="5" t="s">
        <v>54</v>
      </c>
    </row>
    <row r="29" customFormat="false" ht="23.25" hidden="false" customHeight="true" outlineLevel="0" collapsed="false">
      <c r="A29" s="5" t="s">
        <v>114</v>
      </c>
      <c r="B29" s="5" t="s">
        <v>104</v>
      </c>
      <c r="C29" s="5" t="s">
        <v>105</v>
      </c>
      <c r="D29" s="5" t="s">
        <v>79</v>
      </c>
      <c r="E29" s="5" t="s">
        <v>80</v>
      </c>
      <c r="F29" s="5" t="s">
        <v>81</v>
      </c>
      <c r="G29" s="5" t="s">
        <v>82</v>
      </c>
      <c r="H29" s="5" t="s">
        <v>106</v>
      </c>
      <c r="I29" s="6" t="n">
        <v>18.3</v>
      </c>
      <c r="J29" s="5" t="n">
        <f aca="false">IF(I29="","",IF(H29="EUR bn",I29*1000,I29))</f>
        <v>18.3</v>
      </c>
      <c r="K29" s="5" t="str">
        <f aca="false">IF(H29="EUR bn","EUR m",H29)</f>
        <v>%</v>
      </c>
      <c r="L29" s="5" t="s">
        <v>49</v>
      </c>
      <c r="M29" s="5" t="s">
        <v>107</v>
      </c>
      <c r="N29" s="7" t="s">
        <v>51</v>
      </c>
      <c r="O29" s="7" t="s">
        <v>52</v>
      </c>
      <c r="P29" s="7" t="s">
        <v>53</v>
      </c>
      <c r="Q29" s="5" t="str">
        <f aca="false">B29&amp;"|"&amp;D29</f>
        <v>A04|H1_2026</v>
      </c>
      <c r="R29" s="5" t="s">
        <v>108</v>
      </c>
      <c r="S29" s="5" t="s">
        <v>54</v>
      </c>
    </row>
    <row r="30" customFormat="false" ht="23.25" hidden="false" customHeight="true" outlineLevel="0" collapsed="false">
      <c r="A30" s="5" t="s">
        <v>115</v>
      </c>
      <c r="B30" s="5" t="s">
        <v>116</v>
      </c>
      <c r="C30" s="5" t="s">
        <v>117</v>
      </c>
      <c r="D30" s="5" t="s">
        <v>44</v>
      </c>
      <c r="E30" s="5" t="s">
        <v>45</v>
      </c>
      <c r="F30" s="5" t="s">
        <v>118</v>
      </c>
      <c r="G30" s="5" t="s">
        <v>119</v>
      </c>
      <c r="H30" s="5" t="s">
        <v>48</v>
      </c>
      <c r="I30" s="6" t="n">
        <v>1545</v>
      </c>
      <c r="J30" s="5" t="n">
        <f aca="false">IF(I30="","",IF(H30="EUR bn",I30*1000,I30))</f>
        <v>1545</v>
      </c>
      <c r="K30" s="5" t="str">
        <f aca="false">IF(H30="EUR bn","EUR m",H30)</f>
        <v>EUR m</v>
      </c>
      <c r="L30" s="5" t="s">
        <v>49</v>
      </c>
      <c r="M30" s="5" t="s">
        <v>50</v>
      </c>
      <c r="N30" s="7" t="s">
        <v>51</v>
      </c>
      <c r="O30" s="7" t="s">
        <v>52</v>
      </c>
      <c r="P30" s="7" t="s">
        <v>120</v>
      </c>
      <c r="Q30" s="5" t="str">
        <f aca="false">B30&amp;"|"&amp;D30</f>
        <v>A05|H1_2023</v>
      </c>
      <c r="R30" s="5"/>
      <c r="S30" s="5" t="s">
        <v>54</v>
      </c>
    </row>
    <row r="31" customFormat="false" ht="23.25" hidden="false" customHeight="true" outlineLevel="0" collapsed="false">
      <c r="A31" s="5" t="s">
        <v>121</v>
      </c>
      <c r="B31" s="5" t="s">
        <v>116</v>
      </c>
      <c r="C31" s="5" t="s">
        <v>117</v>
      </c>
      <c r="D31" s="5" t="s">
        <v>56</v>
      </c>
      <c r="E31" s="5" t="s">
        <v>122</v>
      </c>
      <c r="F31" s="5" t="s">
        <v>123</v>
      </c>
      <c r="G31" s="5" t="s">
        <v>124</v>
      </c>
      <c r="H31" s="5" t="s">
        <v>48</v>
      </c>
      <c r="I31" s="6" t="n">
        <v>2834</v>
      </c>
      <c r="J31" s="5" t="n">
        <f aca="false">IF(I31="","",IF(H31="EUR bn",I31*1000,I31))</f>
        <v>2834</v>
      </c>
      <c r="K31" s="5" t="str">
        <f aca="false">IF(H31="EUR bn","EUR m",H31)</f>
        <v>EUR m</v>
      </c>
      <c r="L31" s="5" t="s">
        <v>49</v>
      </c>
      <c r="M31" s="5" t="s">
        <v>50</v>
      </c>
      <c r="N31" s="7" t="s">
        <v>51</v>
      </c>
      <c r="O31" s="7" t="s">
        <v>52</v>
      </c>
      <c r="P31" s="7" t="s">
        <v>53</v>
      </c>
      <c r="Q31" s="5" t="str">
        <f aca="false">B31&amp;"|"&amp;D31</f>
        <v>A05|FY_2023</v>
      </c>
      <c r="R31" s="5"/>
      <c r="S31" s="5" t="s">
        <v>54</v>
      </c>
    </row>
    <row r="32" customFormat="false" ht="23.25" hidden="false" customHeight="true" outlineLevel="0" collapsed="false">
      <c r="A32" s="5" t="s">
        <v>125</v>
      </c>
      <c r="B32" s="5" t="s">
        <v>116</v>
      </c>
      <c r="C32" s="5" t="s">
        <v>117</v>
      </c>
      <c r="D32" s="5" t="s">
        <v>61</v>
      </c>
      <c r="E32" s="5" t="s">
        <v>126</v>
      </c>
      <c r="F32" s="5" t="s">
        <v>127</v>
      </c>
      <c r="G32" s="5" t="s">
        <v>128</v>
      </c>
      <c r="H32" s="5" t="s">
        <v>48</v>
      </c>
      <c r="I32" s="6" t="n">
        <v>1665</v>
      </c>
      <c r="J32" s="5" t="n">
        <f aca="false">IF(I32="","",IF(H32="EUR bn",I32*1000,I32))</f>
        <v>1665</v>
      </c>
      <c r="K32" s="5" t="str">
        <f aca="false">IF(H32="EUR bn","EUR m",H32)</f>
        <v>EUR m</v>
      </c>
      <c r="L32" s="5" t="s">
        <v>49</v>
      </c>
      <c r="M32" s="5" t="s">
        <v>50</v>
      </c>
      <c r="N32" s="7" t="s">
        <v>51</v>
      </c>
      <c r="O32" s="7" t="s">
        <v>52</v>
      </c>
      <c r="P32" s="7" t="s">
        <v>53</v>
      </c>
      <c r="Q32" s="5" t="str">
        <f aca="false">B32&amp;"|"&amp;D32</f>
        <v>A05|H1_2024</v>
      </c>
      <c r="R32" s="5"/>
      <c r="S32" s="5" t="s">
        <v>54</v>
      </c>
    </row>
    <row r="33" customFormat="false" ht="23.25" hidden="false" customHeight="true" outlineLevel="0" collapsed="false">
      <c r="A33" s="5" t="s">
        <v>129</v>
      </c>
      <c r="B33" s="5" t="s">
        <v>116</v>
      </c>
      <c r="C33" s="5" t="s">
        <v>117</v>
      </c>
      <c r="D33" s="5" t="s">
        <v>66</v>
      </c>
      <c r="E33" s="5" t="s">
        <v>122</v>
      </c>
      <c r="F33" s="5" t="s">
        <v>123</v>
      </c>
      <c r="G33" s="5" t="s">
        <v>130</v>
      </c>
      <c r="H33" s="5" t="s">
        <v>48</v>
      </c>
      <c r="I33" s="6" t="n">
        <v>2528</v>
      </c>
      <c r="J33" s="5" t="n">
        <f aca="false">IF(I33="","",IF(H33="EUR bn",I33*1000,I33))</f>
        <v>2528</v>
      </c>
      <c r="K33" s="5" t="str">
        <f aca="false">IF(H33="EUR bn","EUR m",H33)</f>
        <v>EUR m</v>
      </c>
      <c r="L33" s="5" t="s">
        <v>49</v>
      </c>
      <c r="M33" s="5" t="s">
        <v>50</v>
      </c>
      <c r="N33" s="7" t="s">
        <v>51</v>
      </c>
      <c r="O33" s="7" t="s">
        <v>52</v>
      </c>
      <c r="P33" s="7" t="s">
        <v>53</v>
      </c>
      <c r="Q33" s="5" t="str">
        <f aca="false">B33&amp;"|"&amp;D33</f>
        <v>A05|FY_2024</v>
      </c>
      <c r="R33" s="5"/>
      <c r="S33" s="5" t="s">
        <v>54</v>
      </c>
    </row>
    <row r="34" customFormat="false" ht="45.75" hidden="false" customHeight="true" outlineLevel="0" collapsed="false">
      <c r="A34" s="5" t="s">
        <v>131</v>
      </c>
      <c r="B34" s="5" t="s">
        <v>116</v>
      </c>
      <c r="C34" s="5" t="s">
        <v>117</v>
      </c>
      <c r="D34" s="5" t="s">
        <v>70</v>
      </c>
      <c r="E34" s="5" t="s">
        <v>126</v>
      </c>
      <c r="F34" s="5" t="s">
        <v>127</v>
      </c>
      <c r="G34" s="5" t="s">
        <v>132</v>
      </c>
      <c r="H34" s="5" t="s">
        <v>48</v>
      </c>
      <c r="I34" s="6" t="n">
        <v>1264</v>
      </c>
      <c r="J34" s="5" t="n">
        <f aca="false">IF(I34="","",IF(H34="EUR bn",I34*1000,I34))</f>
        <v>1264</v>
      </c>
      <c r="K34" s="5" t="str">
        <f aca="false">IF(H34="EUR bn","EUR m",H34)</f>
        <v>EUR m</v>
      </c>
      <c r="L34" s="5" t="s">
        <v>49</v>
      </c>
      <c r="M34" s="5" t="s">
        <v>50</v>
      </c>
      <c r="N34" s="7" t="s">
        <v>51</v>
      </c>
      <c r="O34" s="7" t="s">
        <v>52</v>
      </c>
      <c r="P34" s="7" t="s">
        <v>133</v>
      </c>
      <c r="Q34" s="5" t="str">
        <f aca="false">B34&amp;"|"&amp;D34</f>
        <v>A05|H1_2025</v>
      </c>
      <c r="R34" s="5"/>
      <c r="S34" s="5" t="s">
        <v>54</v>
      </c>
    </row>
    <row r="35" customFormat="false" ht="23.25" hidden="false" customHeight="true" outlineLevel="0" collapsed="false">
      <c r="A35" s="5" t="s">
        <v>134</v>
      </c>
      <c r="B35" s="5" t="s">
        <v>116</v>
      </c>
      <c r="C35" s="5" t="s">
        <v>117</v>
      </c>
      <c r="D35" s="5" t="s">
        <v>75</v>
      </c>
      <c r="E35" s="5" t="s">
        <v>122</v>
      </c>
      <c r="F35" s="5" t="s">
        <v>123</v>
      </c>
      <c r="G35" s="5"/>
      <c r="H35" s="5" t="s">
        <v>48</v>
      </c>
      <c r="I35" s="6" t="n">
        <v>2292</v>
      </c>
      <c r="J35" s="5" t="n">
        <f aca="false">IF(I35="","",IF(H35="EUR bn",I35*1000,I35))</f>
        <v>2292</v>
      </c>
      <c r="K35" s="5" t="str">
        <f aca="false">IF(H35="EUR bn","EUR m",H35)</f>
        <v>EUR m</v>
      </c>
      <c r="L35" s="5" t="s">
        <v>49</v>
      </c>
      <c r="M35" s="5" t="s">
        <v>50</v>
      </c>
      <c r="N35" s="7" t="s">
        <v>51</v>
      </c>
      <c r="O35" s="7" t="s">
        <v>52</v>
      </c>
      <c r="P35" s="7" t="s">
        <v>53</v>
      </c>
      <c r="Q35" s="5" t="str">
        <f aca="false">B35&amp;"|"&amp;D35</f>
        <v>A05|FY_2025</v>
      </c>
      <c r="R35" s="5"/>
      <c r="S35" s="5" t="s">
        <v>54</v>
      </c>
    </row>
    <row r="36" customFormat="false" ht="23.25" hidden="false" customHeight="true" outlineLevel="0" collapsed="false">
      <c r="A36" s="5" t="s">
        <v>135</v>
      </c>
      <c r="B36" s="5" t="s">
        <v>116</v>
      </c>
      <c r="C36" s="5" t="s">
        <v>117</v>
      </c>
      <c r="D36" s="5" t="s">
        <v>79</v>
      </c>
      <c r="E36" s="5" t="s">
        <v>126</v>
      </c>
      <c r="F36" s="5" t="s">
        <v>127</v>
      </c>
      <c r="G36" s="5"/>
      <c r="H36" s="5" t="s">
        <v>48</v>
      </c>
      <c r="I36" s="6" t="n">
        <v>1116</v>
      </c>
      <c r="J36" s="5" t="n">
        <f aca="false">IF(I36="","",IF(H36="EUR bn",I36*1000,I36))</f>
        <v>1116</v>
      </c>
      <c r="K36" s="5" t="str">
        <f aca="false">IF(H36="EUR bn","EUR m",H36)</f>
        <v>EUR m</v>
      </c>
      <c r="L36" s="5" t="s">
        <v>49</v>
      </c>
      <c r="M36" s="5" t="s">
        <v>50</v>
      </c>
      <c r="N36" s="7" t="s">
        <v>51</v>
      </c>
      <c r="O36" s="7" t="s">
        <v>52</v>
      </c>
      <c r="P36" s="7" t="s">
        <v>53</v>
      </c>
      <c r="Q36" s="5" t="str">
        <f aca="false">B36&amp;"|"&amp;D36</f>
        <v>A05|H1_2026</v>
      </c>
      <c r="R36" s="5"/>
      <c r="S36" s="5" t="s">
        <v>54</v>
      </c>
    </row>
    <row r="37" customFormat="false" ht="23.25" hidden="false" customHeight="true" outlineLevel="0" collapsed="false">
      <c r="A37" s="5" t="s">
        <v>136</v>
      </c>
      <c r="B37" s="5" t="s">
        <v>137</v>
      </c>
      <c r="C37" s="5" t="s">
        <v>138</v>
      </c>
      <c r="D37" s="5" t="s">
        <v>44</v>
      </c>
      <c r="E37" s="5" t="s">
        <v>45</v>
      </c>
      <c r="F37" s="5" t="s">
        <v>118</v>
      </c>
      <c r="G37" s="5" t="s">
        <v>119</v>
      </c>
      <c r="H37" s="5" t="s">
        <v>48</v>
      </c>
      <c r="I37" s="6" t="n">
        <v>1201</v>
      </c>
      <c r="J37" s="5" t="n">
        <f aca="false">IF(I37="","",IF(H37="EUR bn",I37*1000,I37))</f>
        <v>1201</v>
      </c>
      <c r="K37" s="5" t="str">
        <f aca="false">IF(H37="EUR bn","EUR m",H37)</f>
        <v>EUR m</v>
      </c>
      <c r="L37" s="5" t="s">
        <v>49</v>
      </c>
      <c r="M37" s="5" t="s">
        <v>50</v>
      </c>
      <c r="N37" s="7" t="s">
        <v>51</v>
      </c>
      <c r="O37" s="7" t="s">
        <v>52</v>
      </c>
      <c r="P37" s="7" t="s">
        <v>53</v>
      </c>
      <c r="Q37" s="5" t="str">
        <f aca="false">B37&amp;"|"&amp;D37</f>
        <v>A06|H1_2023</v>
      </c>
      <c r="R37" s="5"/>
      <c r="S37" s="5" t="s">
        <v>54</v>
      </c>
    </row>
    <row r="38" customFormat="false" ht="23.25" hidden="false" customHeight="true" outlineLevel="0" collapsed="false">
      <c r="A38" s="5" t="s">
        <v>139</v>
      </c>
      <c r="B38" s="5" t="s">
        <v>137</v>
      </c>
      <c r="C38" s="5" t="s">
        <v>138</v>
      </c>
      <c r="D38" s="5" t="s">
        <v>56</v>
      </c>
      <c r="E38" s="5" t="s">
        <v>122</v>
      </c>
      <c r="F38" s="5" t="s">
        <v>123</v>
      </c>
      <c r="G38" s="5" t="s">
        <v>124</v>
      </c>
      <c r="H38" s="5" t="s">
        <v>48</v>
      </c>
      <c r="I38" s="6" t="n">
        <v>2081</v>
      </c>
      <c r="J38" s="5" t="n">
        <f aca="false">IF(I38="","",IF(H38="EUR bn",I38*1000,I38))</f>
        <v>2081</v>
      </c>
      <c r="K38" s="5" t="str">
        <f aca="false">IF(H38="EUR bn","EUR m",H38)</f>
        <v>EUR m</v>
      </c>
      <c r="L38" s="5" t="s">
        <v>49</v>
      </c>
      <c r="M38" s="5" t="s">
        <v>50</v>
      </c>
      <c r="N38" s="7" t="s">
        <v>51</v>
      </c>
      <c r="O38" s="7" t="s">
        <v>52</v>
      </c>
      <c r="P38" s="7" t="s">
        <v>53</v>
      </c>
      <c r="Q38" s="5" t="str">
        <f aca="false">B38&amp;"|"&amp;D38</f>
        <v>A06|FY_2023</v>
      </c>
      <c r="R38" s="5"/>
      <c r="S38" s="5" t="s">
        <v>54</v>
      </c>
    </row>
    <row r="39" customFormat="false" ht="23.25" hidden="false" customHeight="true" outlineLevel="0" collapsed="false">
      <c r="A39" s="5" t="s">
        <v>140</v>
      </c>
      <c r="B39" s="5" t="s">
        <v>137</v>
      </c>
      <c r="C39" s="5" t="s">
        <v>138</v>
      </c>
      <c r="D39" s="5" t="s">
        <v>61</v>
      </c>
      <c r="E39" s="5" t="s">
        <v>126</v>
      </c>
      <c r="F39" s="5" t="s">
        <v>127</v>
      </c>
      <c r="G39" s="5" t="s">
        <v>128</v>
      </c>
      <c r="H39" s="5" t="s">
        <v>48</v>
      </c>
      <c r="I39" s="6" t="n">
        <v>1123</v>
      </c>
      <c r="J39" s="5" t="n">
        <f aca="false">IF(I39="","",IF(H39="EUR bn",I39*1000,I39))</f>
        <v>1123</v>
      </c>
      <c r="K39" s="5" t="str">
        <f aca="false">IF(H39="EUR bn","EUR m",H39)</f>
        <v>EUR m</v>
      </c>
      <c r="L39" s="5" t="s">
        <v>49</v>
      </c>
      <c r="M39" s="5" t="s">
        <v>50</v>
      </c>
      <c r="N39" s="7" t="s">
        <v>51</v>
      </c>
      <c r="O39" s="7" t="s">
        <v>52</v>
      </c>
      <c r="P39" s="7" t="s">
        <v>53</v>
      </c>
      <c r="Q39" s="5" t="str">
        <f aca="false">B39&amp;"|"&amp;D39</f>
        <v>A06|H1_2024</v>
      </c>
      <c r="R39" s="5"/>
      <c r="S39" s="5" t="s">
        <v>54</v>
      </c>
    </row>
    <row r="40" customFormat="false" ht="23.25" hidden="false" customHeight="true" outlineLevel="0" collapsed="false">
      <c r="A40" s="5" t="s">
        <v>141</v>
      </c>
      <c r="B40" s="5" t="s">
        <v>137</v>
      </c>
      <c r="C40" s="5" t="s">
        <v>138</v>
      </c>
      <c r="D40" s="5" t="s">
        <v>66</v>
      </c>
      <c r="E40" s="5" t="s">
        <v>122</v>
      </c>
      <c r="F40" s="5" t="s">
        <v>123</v>
      </c>
      <c r="G40" s="5" t="s">
        <v>130</v>
      </c>
      <c r="H40" s="5" t="s">
        <v>48</v>
      </c>
      <c r="I40" s="6" t="n">
        <v>1583</v>
      </c>
      <c r="J40" s="5" t="n">
        <f aca="false">IF(I40="","",IF(H40="EUR bn",I40*1000,I40))</f>
        <v>1583</v>
      </c>
      <c r="K40" s="5" t="str">
        <f aca="false">IF(H40="EUR bn","EUR m",H40)</f>
        <v>EUR m</v>
      </c>
      <c r="L40" s="5" t="s">
        <v>49</v>
      </c>
      <c r="M40" s="5" t="s">
        <v>50</v>
      </c>
      <c r="N40" s="7" t="s">
        <v>51</v>
      </c>
      <c r="O40" s="7" t="s">
        <v>52</v>
      </c>
      <c r="P40" s="7" t="s">
        <v>53</v>
      </c>
      <c r="Q40" s="5" t="str">
        <f aca="false">B40&amp;"|"&amp;D40</f>
        <v>A06|FY_2024</v>
      </c>
      <c r="R40" s="5"/>
      <c r="S40" s="5" t="s">
        <v>54</v>
      </c>
    </row>
    <row r="41" customFormat="false" ht="23.25" hidden="false" customHeight="true" outlineLevel="0" collapsed="false">
      <c r="A41" s="5" t="s">
        <v>142</v>
      </c>
      <c r="B41" s="5" t="s">
        <v>137</v>
      </c>
      <c r="C41" s="5" t="s">
        <v>138</v>
      </c>
      <c r="D41" s="5" t="s">
        <v>70</v>
      </c>
      <c r="E41" s="5" t="s">
        <v>126</v>
      </c>
      <c r="F41" s="5" t="s">
        <v>127</v>
      </c>
      <c r="G41" s="5" t="s">
        <v>132</v>
      </c>
      <c r="H41" s="5" t="s">
        <v>48</v>
      </c>
      <c r="I41" s="6" t="n">
        <v>575</v>
      </c>
      <c r="J41" s="5" t="n">
        <f aca="false">IF(I41="","",IF(H41="EUR bn",I41*1000,I41))</f>
        <v>575</v>
      </c>
      <c r="K41" s="5" t="str">
        <f aca="false">IF(H41="EUR bn","EUR m",H41)</f>
        <v>EUR m</v>
      </c>
      <c r="L41" s="5" t="s">
        <v>49</v>
      </c>
      <c r="M41" s="5" t="s">
        <v>50</v>
      </c>
      <c r="N41" s="7" t="s">
        <v>51</v>
      </c>
      <c r="O41" s="7" t="s">
        <v>52</v>
      </c>
      <c r="P41" s="7" t="s">
        <v>53</v>
      </c>
      <c r="Q41" s="5" t="str">
        <f aca="false">B41&amp;"|"&amp;D41</f>
        <v>A06|H1_2025</v>
      </c>
      <c r="R41" s="5"/>
      <c r="S41" s="5" t="s">
        <v>54</v>
      </c>
    </row>
    <row r="42" customFormat="false" ht="23.25" hidden="false" customHeight="true" outlineLevel="0" collapsed="false">
      <c r="A42" s="5" t="s">
        <v>143</v>
      </c>
      <c r="B42" s="5" t="s">
        <v>137</v>
      </c>
      <c r="C42" s="5" t="s">
        <v>138</v>
      </c>
      <c r="D42" s="5" t="s">
        <v>75</v>
      </c>
      <c r="E42" s="5" t="s">
        <v>122</v>
      </c>
      <c r="F42" s="5" t="s">
        <v>123</v>
      </c>
      <c r="G42" s="5"/>
      <c r="H42" s="5" t="s">
        <v>48</v>
      </c>
      <c r="I42" s="6" t="n">
        <v>963</v>
      </c>
      <c r="J42" s="5" t="n">
        <f aca="false">IF(I42="","",IF(H42="EUR bn",I42*1000,I42))</f>
        <v>963</v>
      </c>
      <c r="K42" s="5" t="str">
        <f aca="false">IF(H42="EUR bn","EUR m",H42)</f>
        <v>EUR m</v>
      </c>
      <c r="L42" s="5" t="s">
        <v>49</v>
      </c>
      <c r="M42" s="5" t="s">
        <v>50</v>
      </c>
      <c r="N42" s="7" t="s">
        <v>51</v>
      </c>
      <c r="O42" s="7" t="s">
        <v>52</v>
      </c>
      <c r="P42" s="7" t="s">
        <v>53</v>
      </c>
      <c r="Q42" s="5" t="str">
        <f aca="false">B42&amp;"|"&amp;D42</f>
        <v>A06|FY_2025</v>
      </c>
      <c r="R42" s="5"/>
      <c r="S42" s="5" t="s">
        <v>54</v>
      </c>
    </row>
    <row r="43" customFormat="false" ht="23.25" hidden="false" customHeight="true" outlineLevel="0" collapsed="false">
      <c r="A43" s="5" t="s">
        <v>144</v>
      </c>
      <c r="B43" s="5" t="s">
        <v>137</v>
      </c>
      <c r="C43" s="5" t="s">
        <v>138</v>
      </c>
      <c r="D43" s="5" t="s">
        <v>79</v>
      </c>
      <c r="E43" s="5" t="s">
        <v>126</v>
      </c>
      <c r="F43" s="5" t="s">
        <v>127</v>
      </c>
      <c r="G43" s="5"/>
      <c r="H43" s="5" t="s">
        <v>48</v>
      </c>
      <c r="I43" s="6" t="n">
        <v>487</v>
      </c>
      <c r="J43" s="5" t="n">
        <f aca="false">IF(I43="","",IF(H43="EUR bn",I43*1000,I43))</f>
        <v>487</v>
      </c>
      <c r="K43" s="5" t="str">
        <f aca="false">IF(H43="EUR bn","EUR m",H43)</f>
        <v>EUR m</v>
      </c>
      <c r="L43" s="5" t="s">
        <v>49</v>
      </c>
      <c r="M43" s="5" t="s">
        <v>50</v>
      </c>
      <c r="N43" s="7" t="s">
        <v>51</v>
      </c>
      <c r="O43" s="7" t="s">
        <v>52</v>
      </c>
      <c r="P43" s="7" t="s">
        <v>53</v>
      </c>
      <c r="Q43" s="5" t="str">
        <f aca="false">B43&amp;"|"&amp;D43</f>
        <v>A06|H1_2026</v>
      </c>
      <c r="R43" s="5"/>
      <c r="S43" s="5" t="s">
        <v>54</v>
      </c>
    </row>
    <row r="44" customFormat="false" ht="23.25" hidden="false" customHeight="true" outlineLevel="0" collapsed="false">
      <c r="A44" s="5" t="s">
        <v>145</v>
      </c>
      <c r="B44" s="5" t="s">
        <v>146</v>
      </c>
      <c r="C44" s="5" t="s">
        <v>147</v>
      </c>
      <c r="D44" s="5" t="s">
        <v>44</v>
      </c>
      <c r="E44" s="5" t="s">
        <v>45</v>
      </c>
      <c r="F44" s="5" t="s">
        <v>118</v>
      </c>
      <c r="G44" s="5" t="s">
        <v>119</v>
      </c>
      <c r="H44" s="5" t="s">
        <v>106</v>
      </c>
      <c r="I44" s="6" t="n">
        <v>77.7</v>
      </c>
      <c r="J44" s="5" t="n">
        <f aca="false">IF(I44="","",IF(H44="EUR bn",I44*1000,I44))</f>
        <v>77.7</v>
      </c>
      <c r="K44" s="5" t="str">
        <f aca="false">IF(H44="EUR bn","EUR m",H44)</f>
        <v>%</v>
      </c>
      <c r="L44" s="5" t="s">
        <v>49</v>
      </c>
      <c r="M44" s="5" t="s">
        <v>107</v>
      </c>
      <c r="N44" s="7" t="s">
        <v>51</v>
      </c>
      <c r="O44" s="7" t="s">
        <v>52</v>
      </c>
      <c r="P44" s="7" t="s">
        <v>53</v>
      </c>
      <c r="Q44" s="5" t="str">
        <f aca="false">B44&amp;"|"&amp;D44</f>
        <v>A07|H1_2023</v>
      </c>
      <c r="R44" s="5" t="s">
        <v>148</v>
      </c>
      <c r="S44" s="5" t="s">
        <v>54</v>
      </c>
    </row>
    <row r="45" customFormat="false" ht="23.25" hidden="false" customHeight="true" outlineLevel="0" collapsed="false">
      <c r="A45" s="5" t="s">
        <v>149</v>
      </c>
      <c r="B45" s="5" t="s">
        <v>146</v>
      </c>
      <c r="C45" s="5" t="s">
        <v>147</v>
      </c>
      <c r="D45" s="5" t="s">
        <v>56</v>
      </c>
      <c r="E45" s="5" t="s">
        <v>122</v>
      </c>
      <c r="F45" s="5" t="s">
        <v>123</v>
      </c>
      <c r="G45" s="5" t="s">
        <v>124</v>
      </c>
      <c r="H45" s="5" t="s">
        <v>106</v>
      </c>
      <c r="I45" s="6" t="n">
        <v>73.5</v>
      </c>
      <c r="J45" s="5" t="n">
        <f aca="false">IF(I45="","",IF(H45="EUR bn",I45*1000,I45))</f>
        <v>73.5</v>
      </c>
      <c r="K45" s="5" t="str">
        <f aca="false">IF(H45="EUR bn","EUR m",H45)</f>
        <v>%</v>
      </c>
      <c r="L45" s="5" t="s">
        <v>49</v>
      </c>
      <c r="M45" s="5" t="s">
        <v>107</v>
      </c>
      <c r="N45" s="7" t="s">
        <v>51</v>
      </c>
      <c r="O45" s="7" t="s">
        <v>52</v>
      </c>
      <c r="P45" s="7" t="s">
        <v>53</v>
      </c>
      <c r="Q45" s="5" t="str">
        <f aca="false">B45&amp;"|"&amp;D45</f>
        <v>A07|FY_2023</v>
      </c>
      <c r="R45" s="5" t="s">
        <v>148</v>
      </c>
      <c r="S45" s="5" t="s">
        <v>54</v>
      </c>
    </row>
    <row r="46" customFormat="false" ht="23.25" hidden="false" customHeight="true" outlineLevel="0" collapsed="false">
      <c r="A46" s="5" t="s">
        <v>150</v>
      </c>
      <c r="B46" s="5" t="s">
        <v>146</v>
      </c>
      <c r="C46" s="5" t="s">
        <v>147</v>
      </c>
      <c r="D46" s="5" t="s">
        <v>61</v>
      </c>
      <c r="E46" s="5" t="s">
        <v>126</v>
      </c>
      <c r="F46" s="5" t="s">
        <v>127</v>
      </c>
      <c r="G46" s="5" t="s">
        <v>128</v>
      </c>
      <c r="H46" s="5" t="s">
        <v>106</v>
      </c>
      <c r="I46" s="6" t="n">
        <v>67.5</v>
      </c>
      <c r="J46" s="5" t="n">
        <f aca="false">IF(I46="","",IF(H46="EUR bn",I46*1000,I46))</f>
        <v>67.5</v>
      </c>
      <c r="K46" s="5" t="str">
        <f aca="false">IF(H46="EUR bn","EUR m",H46)</f>
        <v>%</v>
      </c>
      <c r="L46" s="5" t="s">
        <v>49</v>
      </c>
      <c r="M46" s="5" t="s">
        <v>107</v>
      </c>
      <c r="N46" s="7" t="s">
        <v>51</v>
      </c>
      <c r="O46" s="7" t="s">
        <v>52</v>
      </c>
      <c r="P46" s="7" t="s">
        <v>53</v>
      </c>
      <c r="Q46" s="5" t="str">
        <f aca="false">B46&amp;"|"&amp;D46</f>
        <v>A07|H1_2024</v>
      </c>
      <c r="R46" s="5" t="s">
        <v>148</v>
      </c>
      <c r="S46" s="5" t="s">
        <v>54</v>
      </c>
    </row>
    <row r="47" customFormat="false" ht="23.25" hidden="false" customHeight="true" outlineLevel="0" collapsed="false">
      <c r="A47" s="5" t="s">
        <v>151</v>
      </c>
      <c r="B47" s="5" t="s">
        <v>146</v>
      </c>
      <c r="C47" s="5" t="s">
        <v>147</v>
      </c>
      <c r="D47" s="5" t="s">
        <v>66</v>
      </c>
      <c r="E47" s="5" t="s">
        <v>122</v>
      </c>
      <c r="F47" s="5" t="s">
        <v>123</v>
      </c>
      <c r="G47" s="5" t="s">
        <v>130</v>
      </c>
      <c r="H47" s="5" t="s">
        <v>106</v>
      </c>
      <c r="I47" s="6" t="n">
        <v>62.6</v>
      </c>
      <c r="J47" s="5" t="n">
        <f aca="false">IF(I47="","",IF(H47="EUR bn",I47*1000,I47))</f>
        <v>62.6</v>
      </c>
      <c r="K47" s="5" t="str">
        <f aca="false">IF(H47="EUR bn","EUR m",H47)</f>
        <v>%</v>
      </c>
      <c r="L47" s="5" t="s">
        <v>49</v>
      </c>
      <c r="M47" s="5" t="s">
        <v>107</v>
      </c>
      <c r="N47" s="7" t="s">
        <v>51</v>
      </c>
      <c r="O47" s="7" t="s">
        <v>52</v>
      </c>
      <c r="P47" s="7" t="s">
        <v>53</v>
      </c>
      <c r="Q47" s="5" t="str">
        <f aca="false">B47&amp;"|"&amp;D47</f>
        <v>A07|FY_2024</v>
      </c>
      <c r="R47" s="5" t="s">
        <v>148</v>
      </c>
      <c r="S47" s="5" t="s">
        <v>54</v>
      </c>
    </row>
    <row r="48" customFormat="false" ht="23.25" hidden="false" customHeight="true" outlineLevel="0" collapsed="false">
      <c r="A48" s="5" t="s">
        <v>152</v>
      </c>
      <c r="B48" s="5" t="s">
        <v>146</v>
      </c>
      <c r="C48" s="5" t="s">
        <v>147</v>
      </c>
      <c r="D48" s="5" t="s">
        <v>70</v>
      </c>
      <c r="E48" s="5" t="s">
        <v>126</v>
      </c>
      <c r="F48" s="5" t="s">
        <v>127</v>
      </c>
      <c r="G48" s="5" t="s">
        <v>132</v>
      </c>
      <c r="H48" s="5" t="s">
        <v>106</v>
      </c>
      <c r="I48" s="6" t="n">
        <v>45.5</v>
      </c>
      <c r="J48" s="5" t="n">
        <f aca="false">IF(I48="","",IF(H48="EUR bn",I48*1000,I48))</f>
        <v>45.5</v>
      </c>
      <c r="K48" s="5" t="str">
        <f aca="false">IF(H48="EUR bn","EUR m",H48)</f>
        <v>%</v>
      </c>
      <c r="L48" s="5" t="s">
        <v>49</v>
      </c>
      <c r="M48" s="5" t="s">
        <v>107</v>
      </c>
      <c r="N48" s="7" t="s">
        <v>51</v>
      </c>
      <c r="O48" s="7" t="s">
        <v>52</v>
      </c>
      <c r="P48" s="7" t="s">
        <v>53</v>
      </c>
      <c r="Q48" s="5" t="str">
        <f aca="false">B48&amp;"|"&amp;D48</f>
        <v>A07|H1_2025</v>
      </c>
      <c r="R48" s="5" t="s">
        <v>148</v>
      </c>
      <c r="S48" s="5" t="s">
        <v>54</v>
      </c>
    </row>
    <row r="49" customFormat="false" ht="23.25" hidden="false" customHeight="true" outlineLevel="0" collapsed="false">
      <c r="A49" s="5" t="s">
        <v>153</v>
      </c>
      <c r="B49" s="5" t="s">
        <v>146</v>
      </c>
      <c r="C49" s="5" t="s">
        <v>147</v>
      </c>
      <c r="D49" s="5" t="s">
        <v>75</v>
      </c>
      <c r="E49" s="5" t="s">
        <v>122</v>
      </c>
      <c r="F49" s="5" t="s">
        <v>123</v>
      </c>
      <c r="G49" s="5"/>
      <c r="H49" s="5" t="s">
        <v>106</v>
      </c>
      <c r="I49" s="6" t="n">
        <v>42</v>
      </c>
      <c r="J49" s="5" t="n">
        <f aca="false">IF(I49="","",IF(H49="EUR bn",I49*1000,I49))</f>
        <v>42</v>
      </c>
      <c r="K49" s="5" t="str">
        <f aca="false">IF(H49="EUR bn","EUR m",H49)</f>
        <v>%</v>
      </c>
      <c r="L49" s="5" t="s">
        <v>49</v>
      </c>
      <c r="M49" s="5" t="s">
        <v>107</v>
      </c>
      <c r="N49" s="7" t="s">
        <v>51</v>
      </c>
      <c r="O49" s="7" t="s">
        <v>52</v>
      </c>
      <c r="P49" s="7" t="s">
        <v>53</v>
      </c>
      <c r="Q49" s="5" t="str">
        <f aca="false">B49&amp;"|"&amp;D49</f>
        <v>A07|FY_2025</v>
      </c>
      <c r="R49" s="5" t="s">
        <v>148</v>
      </c>
      <c r="S49" s="5" t="s">
        <v>54</v>
      </c>
    </row>
    <row r="50" customFormat="false" ht="23.25" hidden="false" customHeight="true" outlineLevel="0" collapsed="false">
      <c r="A50" s="5" t="s">
        <v>154</v>
      </c>
      <c r="B50" s="5" t="s">
        <v>146</v>
      </c>
      <c r="C50" s="5" t="s">
        <v>147</v>
      </c>
      <c r="D50" s="5" t="s">
        <v>79</v>
      </c>
      <c r="E50" s="5" t="s">
        <v>126</v>
      </c>
      <c r="F50" s="5" t="s">
        <v>127</v>
      </c>
      <c r="G50" s="5"/>
      <c r="H50" s="5" t="s">
        <v>106</v>
      </c>
      <c r="I50" s="6" t="n">
        <v>43.6</v>
      </c>
      <c r="J50" s="5" t="n">
        <f aca="false">IF(I50="","",IF(H50="EUR bn",I50*1000,I50))</f>
        <v>43.6</v>
      </c>
      <c r="K50" s="5" t="str">
        <f aca="false">IF(H50="EUR bn","EUR m",H50)</f>
        <v>%</v>
      </c>
      <c r="L50" s="5" t="s">
        <v>49</v>
      </c>
      <c r="M50" s="5" t="s">
        <v>107</v>
      </c>
      <c r="N50" s="7" t="s">
        <v>51</v>
      </c>
      <c r="O50" s="7" t="s">
        <v>52</v>
      </c>
      <c r="P50" s="7" t="s">
        <v>53</v>
      </c>
      <c r="Q50" s="5" t="str">
        <f aca="false">B50&amp;"|"&amp;D50</f>
        <v>A07|H1_2026</v>
      </c>
      <c r="R50" s="5" t="s">
        <v>148</v>
      </c>
      <c r="S50" s="5" t="s">
        <v>54</v>
      </c>
    </row>
    <row r="51" customFormat="false" ht="34.5" hidden="false" customHeight="true" outlineLevel="0" collapsed="false">
      <c r="A51" s="5" t="s">
        <v>155</v>
      </c>
      <c r="B51" s="5" t="s">
        <v>156</v>
      </c>
      <c r="C51" s="5" t="s">
        <v>157</v>
      </c>
      <c r="D51" s="5" t="s">
        <v>44</v>
      </c>
      <c r="E51" s="5" t="s">
        <v>158</v>
      </c>
      <c r="F51" s="5" t="s">
        <v>159</v>
      </c>
      <c r="G51" s="5" t="s">
        <v>119</v>
      </c>
      <c r="H51" s="5" t="s">
        <v>48</v>
      </c>
      <c r="I51" s="6" t="n">
        <v>343</v>
      </c>
      <c r="J51" s="5" t="n">
        <f aca="false">IF(I51="","",IF(H51="EUR bn",I51*1000,I51))</f>
        <v>343</v>
      </c>
      <c r="K51" s="5" t="str">
        <f aca="false">IF(H51="EUR bn","EUR m",H51)</f>
        <v>EUR m</v>
      </c>
      <c r="L51" s="5" t="s">
        <v>49</v>
      </c>
      <c r="M51" s="5" t="s">
        <v>50</v>
      </c>
      <c r="N51" s="7" t="s">
        <v>51</v>
      </c>
      <c r="O51" s="7" t="s">
        <v>160</v>
      </c>
      <c r="P51" s="7" t="s">
        <v>161</v>
      </c>
      <c r="Q51" s="5" t="str">
        <f aca="false">B51&amp;"|"&amp;D51</f>
        <v>A08|H1_2023</v>
      </c>
      <c r="R51" s="5"/>
      <c r="S51" s="5" t="s">
        <v>162</v>
      </c>
    </row>
    <row r="52" customFormat="false" ht="23.25" hidden="false" customHeight="true" outlineLevel="0" collapsed="false">
      <c r="A52" s="5" t="s">
        <v>163</v>
      </c>
      <c r="B52" s="5" t="s">
        <v>156</v>
      </c>
      <c r="C52" s="5" t="s">
        <v>157</v>
      </c>
      <c r="D52" s="5" t="s">
        <v>56</v>
      </c>
      <c r="E52" s="5" t="s">
        <v>122</v>
      </c>
      <c r="F52" s="5" t="s">
        <v>123</v>
      </c>
      <c r="G52" s="5" t="s">
        <v>124</v>
      </c>
      <c r="H52" s="5" t="s">
        <v>48</v>
      </c>
      <c r="I52" s="6" t="n">
        <v>753</v>
      </c>
      <c r="J52" s="5" t="n">
        <f aca="false">IF(I52="","",IF(H52="EUR bn",I52*1000,I52))</f>
        <v>753</v>
      </c>
      <c r="K52" s="5" t="str">
        <f aca="false">IF(H52="EUR bn","EUR m",H52)</f>
        <v>EUR m</v>
      </c>
      <c r="L52" s="5" t="s">
        <v>49</v>
      </c>
      <c r="M52" s="5" t="s">
        <v>50</v>
      </c>
      <c r="N52" s="7" t="s">
        <v>51</v>
      </c>
      <c r="O52" s="7" t="s">
        <v>52</v>
      </c>
      <c r="P52" s="7" t="s">
        <v>53</v>
      </c>
      <c r="Q52" s="5" t="str">
        <f aca="false">B52&amp;"|"&amp;D52</f>
        <v>A08|FY_2023</v>
      </c>
      <c r="R52" s="5"/>
      <c r="S52" s="5" t="s">
        <v>54</v>
      </c>
    </row>
    <row r="53" customFormat="false" ht="23.25" hidden="false" customHeight="true" outlineLevel="0" collapsed="false">
      <c r="A53" s="5" t="s">
        <v>164</v>
      </c>
      <c r="B53" s="5" t="s">
        <v>156</v>
      </c>
      <c r="C53" s="5" t="s">
        <v>157</v>
      </c>
      <c r="D53" s="5" t="s">
        <v>61</v>
      </c>
      <c r="E53" s="5" t="s">
        <v>126</v>
      </c>
      <c r="F53" s="5" t="s">
        <v>127</v>
      </c>
      <c r="G53" s="5" t="s">
        <v>128</v>
      </c>
      <c r="H53" s="5" t="s">
        <v>48</v>
      </c>
      <c r="I53" s="6" t="n">
        <v>541</v>
      </c>
      <c r="J53" s="5" t="n">
        <f aca="false">IF(I53="","",IF(H53="EUR bn",I53*1000,I53))</f>
        <v>541</v>
      </c>
      <c r="K53" s="5" t="str">
        <f aca="false">IF(H53="EUR bn","EUR m",H53)</f>
        <v>EUR m</v>
      </c>
      <c r="L53" s="5" t="s">
        <v>49</v>
      </c>
      <c r="M53" s="5" t="s">
        <v>50</v>
      </c>
      <c r="N53" s="7" t="s">
        <v>51</v>
      </c>
      <c r="O53" s="7" t="s">
        <v>52</v>
      </c>
      <c r="P53" s="7" t="s">
        <v>53</v>
      </c>
      <c r="Q53" s="5" t="str">
        <f aca="false">B53&amp;"|"&amp;D53</f>
        <v>A08|H1_2024</v>
      </c>
      <c r="R53" s="5"/>
      <c r="S53" s="5" t="s">
        <v>54</v>
      </c>
    </row>
    <row r="54" customFormat="false" ht="23.25" hidden="false" customHeight="true" outlineLevel="0" collapsed="false">
      <c r="A54" s="5" t="s">
        <v>165</v>
      </c>
      <c r="B54" s="5" t="s">
        <v>156</v>
      </c>
      <c r="C54" s="5" t="s">
        <v>157</v>
      </c>
      <c r="D54" s="5" t="s">
        <v>66</v>
      </c>
      <c r="E54" s="5" t="s">
        <v>122</v>
      </c>
      <c r="F54" s="5" t="s">
        <v>123</v>
      </c>
      <c r="G54" s="5" t="s">
        <v>130</v>
      </c>
      <c r="H54" s="5" t="s">
        <v>48</v>
      </c>
      <c r="I54" s="6" t="n">
        <v>945</v>
      </c>
      <c r="J54" s="5" t="n">
        <f aca="false">IF(I54="","",IF(H54="EUR bn",I54*1000,I54))</f>
        <v>945</v>
      </c>
      <c r="K54" s="5" t="str">
        <f aca="false">IF(H54="EUR bn","EUR m",H54)</f>
        <v>EUR m</v>
      </c>
      <c r="L54" s="5" t="s">
        <v>49</v>
      </c>
      <c r="M54" s="5" t="s">
        <v>50</v>
      </c>
      <c r="N54" s="7" t="s">
        <v>51</v>
      </c>
      <c r="O54" s="7" t="s">
        <v>52</v>
      </c>
      <c r="P54" s="7" t="s">
        <v>53</v>
      </c>
      <c r="Q54" s="5" t="str">
        <f aca="false">B54&amp;"|"&amp;D54</f>
        <v>A08|FY_2024</v>
      </c>
      <c r="R54" s="5"/>
      <c r="S54" s="5" t="s">
        <v>54</v>
      </c>
    </row>
    <row r="55" customFormat="false" ht="23.25" hidden="false" customHeight="true" outlineLevel="0" collapsed="false">
      <c r="A55" s="5" t="s">
        <v>166</v>
      </c>
      <c r="B55" s="5" t="s">
        <v>156</v>
      </c>
      <c r="C55" s="5" t="s">
        <v>157</v>
      </c>
      <c r="D55" s="5" t="s">
        <v>70</v>
      </c>
      <c r="E55" s="5" t="s">
        <v>126</v>
      </c>
      <c r="F55" s="5" t="s">
        <v>127</v>
      </c>
      <c r="G55" s="5" t="s">
        <v>132</v>
      </c>
      <c r="H55" s="5" t="s">
        <v>48</v>
      </c>
      <c r="I55" s="6" t="n">
        <v>690</v>
      </c>
      <c r="J55" s="5" t="n">
        <f aca="false">IF(I55="","",IF(H55="EUR bn",I55*1000,I55))</f>
        <v>690</v>
      </c>
      <c r="K55" s="5" t="str">
        <f aca="false">IF(H55="EUR bn","EUR m",H55)</f>
        <v>EUR m</v>
      </c>
      <c r="L55" s="5" t="s">
        <v>49</v>
      </c>
      <c r="M55" s="5" t="s">
        <v>50</v>
      </c>
      <c r="N55" s="7" t="s">
        <v>51</v>
      </c>
      <c r="O55" s="7" t="s">
        <v>52</v>
      </c>
      <c r="P55" s="7" t="s">
        <v>53</v>
      </c>
      <c r="Q55" s="5" t="str">
        <f aca="false">B55&amp;"|"&amp;D55</f>
        <v>A08|H1_2025</v>
      </c>
      <c r="R55" s="5"/>
      <c r="S55" s="5" t="s">
        <v>54</v>
      </c>
    </row>
    <row r="56" customFormat="false" ht="23.25" hidden="false" customHeight="true" outlineLevel="0" collapsed="false">
      <c r="A56" s="5" t="s">
        <v>167</v>
      </c>
      <c r="B56" s="5" t="s">
        <v>156</v>
      </c>
      <c r="C56" s="5" t="s">
        <v>157</v>
      </c>
      <c r="D56" s="5" t="s">
        <v>75</v>
      </c>
      <c r="E56" s="5" t="s">
        <v>122</v>
      </c>
      <c r="F56" s="5" t="s">
        <v>123</v>
      </c>
      <c r="G56" s="5"/>
      <c r="H56" s="5" t="s">
        <v>48</v>
      </c>
      <c r="I56" s="6" t="n">
        <v>1329</v>
      </c>
      <c r="J56" s="5" t="n">
        <f aca="false">IF(I56="","",IF(H56="EUR bn",I56*1000,I56))</f>
        <v>1329</v>
      </c>
      <c r="K56" s="5" t="str">
        <f aca="false">IF(H56="EUR bn","EUR m",H56)</f>
        <v>EUR m</v>
      </c>
      <c r="L56" s="5" t="s">
        <v>49</v>
      </c>
      <c r="M56" s="5" t="s">
        <v>50</v>
      </c>
      <c r="N56" s="7" t="s">
        <v>51</v>
      </c>
      <c r="O56" s="7" t="s">
        <v>52</v>
      </c>
      <c r="P56" s="7" t="s">
        <v>53</v>
      </c>
      <c r="Q56" s="5" t="str">
        <f aca="false">B56&amp;"|"&amp;D56</f>
        <v>A08|FY_2025</v>
      </c>
      <c r="R56" s="5"/>
      <c r="S56" s="5" t="s">
        <v>54</v>
      </c>
    </row>
    <row r="57" customFormat="false" ht="23.25" hidden="false" customHeight="true" outlineLevel="0" collapsed="false">
      <c r="A57" s="5" t="s">
        <v>168</v>
      </c>
      <c r="B57" s="5" t="s">
        <v>156</v>
      </c>
      <c r="C57" s="5" t="s">
        <v>157</v>
      </c>
      <c r="D57" s="5" t="s">
        <v>79</v>
      </c>
      <c r="E57" s="5" t="s">
        <v>126</v>
      </c>
      <c r="F57" s="5" t="s">
        <v>127</v>
      </c>
      <c r="G57" s="5"/>
      <c r="H57" s="5" t="s">
        <v>48</v>
      </c>
      <c r="I57" s="6" t="n">
        <v>629</v>
      </c>
      <c r="J57" s="5" t="n">
        <f aca="false">IF(I57="","",IF(H57="EUR bn",I57*1000,I57))</f>
        <v>629</v>
      </c>
      <c r="K57" s="5" t="str">
        <f aca="false">IF(H57="EUR bn","EUR m",H57)</f>
        <v>EUR m</v>
      </c>
      <c r="L57" s="5" t="s">
        <v>49</v>
      </c>
      <c r="M57" s="5" t="s">
        <v>50</v>
      </c>
      <c r="N57" s="7" t="s">
        <v>51</v>
      </c>
      <c r="O57" s="7" t="s">
        <v>52</v>
      </c>
      <c r="P57" s="7" t="s">
        <v>53</v>
      </c>
      <c r="Q57" s="5" t="str">
        <f aca="false">B57&amp;"|"&amp;D57</f>
        <v>A08|H1_2026</v>
      </c>
      <c r="R57" s="5"/>
      <c r="S57" s="5" t="s">
        <v>54</v>
      </c>
    </row>
    <row r="58" customFormat="false" ht="23.25" hidden="false" customHeight="true" outlineLevel="0" collapsed="false">
      <c r="A58" s="5" t="s">
        <v>169</v>
      </c>
      <c r="B58" s="5" t="s">
        <v>170</v>
      </c>
      <c r="C58" s="5" t="s">
        <v>171</v>
      </c>
      <c r="D58" s="5" t="s">
        <v>44</v>
      </c>
      <c r="E58" s="5" t="s">
        <v>45</v>
      </c>
      <c r="F58" s="5" t="s">
        <v>118</v>
      </c>
      <c r="G58" s="5" t="s">
        <v>119</v>
      </c>
      <c r="H58" s="5" t="s">
        <v>48</v>
      </c>
      <c r="I58" s="6" t="n">
        <v>427</v>
      </c>
      <c r="J58" s="5" t="n">
        <f aca="false">IF(I58="","",IF(H58="EUR bn",I58*1000,I58))</f>
        <v>427</v>
      </c>
      <c r="K58" s="5" t="str">
        <f aca="false">IF(H58="EUR bn","EUR m",H58)</f>
        <v>EUR m</v>
      </c>
      <c r="L58" s="5" t="s">
        <v>49</v>
      </c>
      <c r="M58" s="5" t="s">
        <v>50</v>
      </c>
      <c r="N58" s="7" t="s">
        <v>51</v>
      </c>
      <c r="O58" s="7" t="s">
        <v>52</v>
      </c>
      <c r="P58" s="7" t="s">
        <v>172</v>
      </c>
      <c r="Q58" s="5" t="str">
        <f aca="false">B58&amp;"|"&amp;D58</f>
        <v>A09|H1_2023</v>
      </c>
      <c r="R58" s="5"/>
      <c r="S58" s="5" t="s">
        <v>54</v>
      </c>
    </row>
    <row r="59" customFormat="false" ht="23.25" hidden="false" customHeight="true" outlineLevel="0" collapsed="false">
      <c r="A59" s="5" t="s">
        <v>173</v>
      </c>
      <c r="B59" s="5" t="s">
        <v>170</v>
      </c>
      <c r="C59" s="5" t="s">
        <v>171</v>
      </c>
      <c r="D59" s="5" t="s">
        <v>56</v>
      </c>
      <c r="E59" s="5" t="s">
        <v>122</v>
      </c>
      <c r="F59" s="5" t="s">
        <v>123</v>
      </c>
      <c r="G59" s="5" t="s">
        <v>124</v>
      </c>
      <c r="H59" s="5" t="s">
        <v>48</v>
      </c>
      <c r="I59" s="6" t="n">
        <v>960</v>
      </c>
      <c r="J59" s="5" t="n">
        <f aca="false">IF(I59="","",IF(H59="EUR bn",I59*1000,I59))</f>
        <v>960</v>
      </c>
      <c r="K59" s="5" t="str">
        <f aca="false">IF(H59="EUR bn","EUR m",H59)</f>
        <v>EUR m</v>
      </c>
      <c r="L59" s="5" t="s">
        <v>49</v>
      </c>
      <c r="M59" s="5" t="s">
        <v>50</v>
      </c>
      <c r="N59" s="7" t="s">
        <v>51</v>
      </c>
      <c r="O59" s="7" t="s">
        <v>52</v>
      </c>
      <c r="P59" s="7" t="s">
        <v>53</v>
      </c>
      <c r="Q59" s="5" t="str">
        <f aca="false">B59&amp;"|"&amp;D59</f>
        <v>A09|FY_2023</v>
      </c>
      <c r="R59" s="5"/>
      <c r="S59" s="5" t="s">
        <v>54</v>
      </c>
    </row>
    <row r="60" customFormat="false" ht="23.25" hidden="false" customHeight="true" outlineLevel="0" collapsed="false">
      <c r="A60" s="5" t="s">
        <v>174</v>
      </c>
      <c r="B60" s="5" t="s">
        <v>170</v>
      </c>
      <c r="C60" s="5" t="s">
        <v>171</v>
      </c>
      <c r="D60" s="5" t="s">
        <v>61</v>
      </c>
      <c r="E60" s="5" t="s">
        <v>126</v>
      </c>
      <c r="F60" s="5" t="s">
        <v>127</v>
      </c>
      <c r="G60" s="5" t="s">
        <v>128</v>
      </c>
      <c r="H60" s="5" t="s">
        <v>48</v>
      </c>
      <c r="I60" s="6" t="n">
        <v>516</v>
      </c>
      <c r="J60" s="5" t="n">
        <f aca="false">IF(I60="","",IF(H60="EUR bn",I60*1000,I60))</f>
        <v>516</v>
      </c>
      <c r="K60" s="5" t="str">
        <f aca="false">IF(H60="EUR bn","EUR m",H60)</f>
        <v>EUR m</v>
      </c>
      <c r="L60" s="5" t="s">
        <v>49</v>
      </c>
      <c r="M60" s="5" t="s">
        <v>50</v>
      </c>
      <c r="N60" s="7" t="s">
        <v>51</v>
      </c>
      <c r="O60" s="7" t="s">
        <v>52</v>
      </c>
      <c r="P60" s="7" t="s">
        <v>53</v>
      </c>
      <c r="Q60" s="5" t="str">
        <f aca="false">B60&amp;"|"&amp;D60</f>
        <v>A09|H1_2024</v>
      </c>
      <c r="R60" s="5"/>
      <c r="S60" s="5" t="s">
        <v>54</v>
      </c>
    </row>
    <row r="61" customFormat="false" ht="23.25" hidden="false" customHeight="true" outlineLevel="0" collapsed="false">
      <c r="A61" s="5" t="s">
        <v>175</v>
      </c>
      <c r="B61" s="5" t="s">
        <v>170</v>
      </c>
      <c r="C61" s="5" t="s">
        <v>171</v>
      </c>
      <c r="D61" s="5" t="s">
        <v>66</v>
      </c>
      <c r="E61" s="5" t="s">
        <v>122</v>
      </c>
      <c r="F61" s="5" t="s">
        <v>123</v>
      </c>
      <c r="G61" s="5" t="s">
        <v>130</v>
      </c>
      <c r="H61" s="5" t="s">
        <v>48</v>
      </c>
      <c r="I61" s="6" t="n">
        <v>1101</v>
      </c>
      <c r="J61" s="5" t="n">
        <f aca="false">IF(I61="","",IF(H61="EUR bn",I61*1000,I61))</f>
        <v>1101</v>
      </c>
      <c r="K61" s="5" t="str">
        <f aca="false">IF(H61="EUR bn","EUR m",H61)</f>
        <v>EUR m</v>
      </c>
      <c r="L61" s="5" t="s">
        <v>49</v>
      </c>
      <c r="M61" s="5" t="s">
        <v>50</v>
      </c>
      <c r="N61" s="7" t="s">
        <v>51</v>
      </c>
      <c r="O61" s="7" t="s">
        <v>52</v>
      </c>
      <c r="P61" s="7" t="s">
        <v>53</v>
      </c>
      <c r="Q61" s="5" t="str">
        <f aca="false">B61&amp;"|"&amp;D61</f>
        <v>A09|FY_2024</v>
      </c>
      <c r="R61" s="5"/>
      <c r="S61" s="5" t="s">
        <v>54</v>
      </c>
    </row>
    <row r="62" customFormat="false" ht="23.25" hidden="false" customHeight="true" outlineLevel="0" collapsed="false">
      <c r="A62" s="5" t="s">
        <v>176</v>
      </c>
      <c r="B62" s="5" t="s">
        <v>170</v>
      </c>
      <c r="C62" s="5" t="s">
        <v>171</v>
      </c>
      <c r="D62" s="5" t="s">
        <v>70</v>
      </c>
      <c r="E62" s="5" t="s">
        <v>126</v>
      </c>
      <c r="F62" s="5" t="s">
        <v>127</v>
      </c>
      <c r="G62" s="5" t="s">
        <v>132</v>
      </c>
      <c r="H62" s="5" t="s">
        <v>48</v>
      </c>
      <c r="I62" s="6" t="n">
        <v>600</v>
      </c>
      <c r="J62" s="5" t="n">
        <f aca="false">IF(I62="","",IF(H62="EUR bn",I62*1000,I62))</f>
        <v>600</v>
      </c>
      <c r="K62" s="5" t="str">
        <f aca="false">IF(H62="EUR bn","EUR m",H62)</f>
        <v>EUR m</v>
      </c>
      <c r="L62" s="5" t="s">
        <v>49</v>
      </c>
      <c r="M62" s="5" t="s">
        <v>50</v>
      </c>
      <c r="N62" s="7" t="s">
        <v>51</v>
      </c>
      <c r="O62" s="7" t="s">
        <v>52</v>
      </c>
      <c r="P62" s="7" t="s">
        <v>53</v>
      </c>
      <c r="Q62" s="5" t="str">
        <f aca="false">B62&amp;"|"&amp;D62</f>
        <v>A09|H1_2025</v>
      </c>
      <c r="R62" s="5"/>
      <c r="S62" s="5" t="s">
        <v>54</v>
      </c>
    </row>
    <row r="63" customFormat="false" ht="23.25" hidden="false" customHeight="true" outlineLevel="0" collapsed="false">
      <c r="A63" s="5" t="s">
        <v>177</v>
      </c>
      <c r="B63" s="5" t="s">
        <v>170</v>
      </c>
      <c r="C63" s="5" t="s">
        <v>171</v>
      </c>
      <c r="D63" s="5" t="s">
        <v>75</v>
      </c>
      <c r="E63" s="5" t="s">
        <v>122</v>
      </c>
      <c r="F63" s="5" t="s">
        <v>123</v>
      </c>
      <c r="G63" s="5"/>
      <c r="H63" s="5" t="s">
        <v>48</v>
      </c>
      <c r="I63" s="6" t="n">
        <v>1830</v>
      </c>
      <c r="J63" s="5" t="n">
        <f aca="false">IF(I63="","",IF(H63="EUR bn",I63*1000,I63))</f>
        <v>1830</v>
      </c>
      <c r="K63" s="5" t="str">
        <f aca="false">IF(H63="EUR bn","EUR m",H63)</f>
        <v>EUR m</v>
      </c>
      <c r="L63" s="5" t="s">
        <v>49</v>
      </c>
      <c r="M63" s="5" t="s">
        <v>50</v>
      </c>
      <c r="N63" s="7" t="s">
        <v>51</v>
      </c>
      <c r="O63" s="7" t="s">
        <v>52</v>
      </c>
      <c r="P63" s="7" t="s">
        <v>53</v>
      </c>
      <c r="Q63" s="5" t="str">
        <f aca="false">B63&amp;"|"&amp;D63</f>
        <v>A09|FY_2025</v>
      </c>
      <c r="R63" s="5"/>
      <c r="S63" s="5" t="s">
        <v>54</v>
      </c>
    </row>
    <row r="64" customFormat="false" ht="23.25" hidden="false" customHeight="true" outlineLevel="0" collapsed="false">
      <c r="A64" s="5" t="s">
        <v>178</v>
      </c>
      <c r="B64" s="5" t="s">
        <v>170</v>
      </c>
      <c r="C64" s="5" t="s">
        <v>171</v>
      </c>
      <c r="D64" s="5" t="s">
        <v>79</v>
      </c>
      <c r="E64" s="5" t="s">
        <v>126</v>
      </c>
      <c r="F64" s="5" t="s">
        <v>127</v>
      </c>
      <c r="G64" s="5"/>
      <c r="H64" s="5" t="s">
        <v>48</v>
      </c>
      <c r="I64" s="6" t="n">
        <v>705</v>
      </c>
      <c r="J64" s="5" t="n">
        <f aca="false">IF(I64="","",IF(H64="EUR bn",I64*1000,I64))</f>
        <v>705</v>
      </c>
      <c r="K64" s="5" t="str">
        <f aca="false">IF(H64="EUR bn","EUR m",H64)</f>
        <v>EUR m</v>
      </c>
      <c r="L64" s="5" t="s">
        <v>49</v>
      </c>
      <c r="M64" s="5" t="s">
        <v>50</v>
      </c>
      <c r="N64" s="7" t="s">
        <v>51</v>
      </c>
      <c r="O64" s="7" t="s">
        <v>52</v>
      </c>
      <c r="P64" s="7" t="s">
        <v>53</v>
      </c>
      <c r="Q64" s="5" t="str">
        <f aca="false">B64&amp;"|"&amp;D64</f>
        <v>A09|H1_2026</v>
      </c>
      <c r="R64" s="5"/>
      <c r="S64" s="5" t="s">
        <v>54</v>
      </c>
    </row>
    <row r="65" customFormat="false" ht="23.25" hidden="false" customHeight="true" outlineLevel="0" collapsed="false">
      <c r="A65" s="5" t="s">
        <v>179</v>
      </c>
      <c r="B65" s="5" t="s">
        <v>180</v>
      </c>
      <c r="C65" s="5" t="s">
        <v>181</v>
      </c>
      <c r="D65" s="5" t="s">
        <v>44</v>
      </c>
      <c r="E65" s="5" t="s">
        <v>45</v>
      </c>
      <c r="F65" s="5" t="s">
        <v>182</v>
      </c>
      <c r="G65" s="5" t="s">
        <v>119</v>
      </c>
      <c r="H65" s="5" t="s">
        <v>48</v>
      </c>
      <c r="I65" s="6" t="n">
        <v>866</v>
      </c>
      <c r="J65" s="5" t="n">
        <f aca="false">IF(I65="","",IF(H65="EUR bn",I65*1000,I65))</f>
        <v>866</v>
      </c>
      <c r="K65" s="5" t="str">
        <f aca="false">IF(H65="EUR bn","EUR m",H65)</f>
        <v>EUR m</v>
      </c>
      <c r="L65" s="5" t="s">
        <v>49</v>
      </c>
      <c r="M65" s="5" t="s">
        <v>50</v>
      </c>
      <c r="N65" s="7" t="s">
        <v>51</v>
      </c>
      <c r="O65" s="7" t="s">
        <v>52</v>
      </c>
      <c r="P65" s="7" t="s">
        <v>183</v>
      </c>
      <c r="Q65" s="5" t="str">
        <f aca="false">B65&amp;"|"&amp;D65</f>
        <v>A10|H1_2023</v>
      </c>
      <c r="R65" s="5"/>
      <c r="S65" s="5" t="s">
        <v>54</v>
      </c>
    </row>
    <row r="66" customFormat="false" ht="23.25" hidden="false" customHeight="true" outlineLevel="0" collapsed="false">
      <c r="A66" s="5" t="s">
        <v>184</v>
      </c>
      <c r="B66" s="5" t="s">
        <v>180</v>
      </c>
      <c r="C66" s="5" t="s">
        <v>181</v>
      </c>
      <c r="D66" s="5" t="s">
        <v>56</v>
      </c>
      <c r="E66" s="5" t="s">
        <v>122</v>
      </c>
      <c r="F66" s="5" t="s">
        <v>123</v>
      </c>
      <c r="G66" s="5" t="s">
        <v>124</v>
      </c>
      <c r="H66" s="5" t="s">
        <v>48</v>
      </c>
      <c r="I66" s="6" t="n">
        <v>1964</v>
      </c>
      <c r="J66" s="5" t="n">
        <f aca="false">IF(I66="","",IF(H66="EUR bn",I66*1000,I66))</f>
        <v>1964</v>
      </c>
      <c r="K66" s="5" t="str">
        <f aca="false">IF(H66="EUR bn","EUR m",H66)</f>
        <v>EUR m</v>
      </c>
      <c r="L66" s="5" t="s">
        <v>49</v>
      </c>
      <c r="M66" s="5" t="s">
        <v>50</v>
      </c>
      <c r="N66" s="7" t="s">
        <v>51</v>
      </c>
      <c r="O66" s="7" t="s">
        <v>52</v>
      </c>
      <c r="P66" s="7" t="s">
        <v>53</v>
      </c>
      <c r="Q66" s="5" t="str">
        <f aca="false">B66&amp;"|"&amp;D66</f>
        <v>A10|FY_2023</v>
      </c>
      <c r="R66" s="5"/>
      <c r="S66" s="5" t="s">
        <v>54</v>
      </c>
    </row>
    <row r="67" customFormat="false" ht="23.25" hidden="false" customHeight="true" outlineLevel="0" collapsed="false">
      <c r="A67" s="5" t="s">
        <v>185</v>
      </c>
      <c r="B67" s="5" t="s">
        <v>180</v>
      </c>
      <c r="C67" s="5" t="s">
        <v>181</v>
      </c>
      <c r="D67" s="5" t="s">
        <v>61</v>
      </c>
      <c r="E67" s="5" t="s">
        <v>126</v>
      </c>
      <c r="F67" s="5" t="s">
        <v>127</v>
      </c>
      <c r="G67" s="5" t="s">
        <v>128</v>
      </c>
      <c r="H67" s="5" t="s">
        <v>48</v>
      </c>
      <c r="I67" s="6" t="n">
        <v>850</v>
      </c>
      <c r="J67" s="5" t="n">
        <f aca="false">IF(I67="","",IF(H67="EUR bn",I67*1000,I67))</f>
        <v>850</v>
      </c>
      <c r="K67" s="5" t="str">
        <f aca="false">IF(H67="EUR bn","EUR m",H67)</f>
        <v>EUR m</v>
      </c>
      <c r="L67" s="5" t="s">
        <v>49</v>
      </c>
      <c r="M67" s="5" t="s">
        <v>50</v>
      </c>
      <c r="N67" s="7" t="s">
        <v>51</v>
      </c>
      <c r="O67" s="7" t="s">
        <v>52</v>
      </c>
      <c r="P67" s="7" t="s">
        <v>53</v>
      </c>
      <c r="Q67" s="5" t="str">
        <f aca="false">B67&amp;"|"&amp;D67</f>
        <v>A10|H1_2024</v>
      </c>
      <c r="R67" s="5"/>
      <c r="S67" s="5" t="s">
        <v>54</v>
      </c>
    </row>
    <row r="68" customFormat="false" ht="23.25" hidden="false" customHeight="true" outlineLevel="0" collapsed="false">
      <c r="A68" s="5" t="s">
        <v>186</v>
      </c>
      <c r="B68" s="5" t="s">
        <v>180</v>
      </c>
      <c r="C68" s="5" t="s">
        <v>181</v>
      </c>
      <c r="D68" s="5" t="s">
        <v>66</v>
      </c>
      <c r="E68" s="5" t="s">
        <v>122</v>
      </c>
      <c r="F68" s="5" t="s">
        <v>123</v>
      </c>
      <c r="G68" s="5" t="s">
        <v>130</v>
      </c>
      <c r="H68" s="5" t="s">
        <v>48</v>
      </c>
      <c r="I68" s="6" t="n">
        <v>2119</v>
      </c>
      <c r="J68" s="5" t="n">
        <f aca="false">IF(I68="","",IF(H68="EUR bn",I68*1000,I68))</f>
        <v>2119</v>
      </c>
      <c r="K68" s="5" t="str">
        <f aca="false">IF(H68="EUR bn","EUR m",H68)</f>
        <v>EUR m</v>
      </c>
      <c r="L68" s="5" t="s">
        <v>49</v>
      </c>
      <c r="M68" s="5" t="s">
        <v>50</v>
      </c>
      <c r="N68" s="7" t="s">
        <v>51</v>
      </c>
      <c r="O68" s="7" t="s">
        <v>52</v>
      </c>
      <c r="P68" s="7" t="s">
        <v>53</v>
      </c>
      <c r="Q68" s="5" t="str">
        <f aca="false">B68&amp;"|"&amp;D68</f>
        <v>A10|FY_2024</v>
      </c>
      <c r="R68" s="5"/>
      <c r="S68" s="5" t="s">
        <v>54</v>
      </c>
    </row>
    <row r="69" customFormat="false" ht="23.25" hidden="false" customHeight="true" outlineLevel="0" collapsed="false">
      <c r="A69" s="5" t="s">
        <v>187</v>
      </c>
      <c r="B69" s="5" t="s">
        <v>180</v>
      </c>
      <c r="C69" s="5" t="s">
        <v>181</v>
      </c>
      <c r="D69" s="5" t="s">
        <v>70</v>
      </c>
      <c r="E69" s="5" t="s">
        <v>126</v>
      </c>
      <c r="F69" s="5" t="s">
        <v>127</v>
      </c>
      <c r="G69" s="5" t="s">
        <v>132</v>
      </c>
      <c r="H69" s="5" t="s">
        <v>48</v>
      </c>
      <c r="I69" s="6" t="n">
        <v>965</v>
      </c>
      <c r="J69" s="5" t="n">
        <f aca="false">IF(I69="","",IF(H69="EUR bn",I69*1000,I69))</f>
        <v>965</v>
      </c>
      <c r="K69" s="5" t="str">
        <f aca="false">IF(H69="EUR bn","EUR m",H69)</f>
        <v>EUR m</v>
      </c>
      <c r="L69" s="5" t="s">
        <v>49</v>
      </c>
      <c r="M69" s="5" t="s">
        <v>50</v>
      </c>
      <c r="N69" s="7" t="s">
        <v>51</v>
      </c>
      <c r="O69" s="7" t="s">
        <v>52</v>
      </c>
      <c r="P69" s="7" t="s">
        <v>53</v>
      </c>
      <c r="Q69" s="5" t="str">
        <f aca="false">B69&amp;"|"&amp;D69</f>
        <v>A10|H1_2025</v>
      </c>
      <c r="R69" s="5"/>
      <c r="S69" s="5" t="s">
        <v>54</v>
      </c>
    </row>
    <row r="70" customFormat="false" ht="23.25" hidden="false" customHeight="true" outlineLevel="0" collapsed="false">
      <c r="A70" s="5" t="s">
        <v>188</v>
      </c>
      <c r="B70" s="5" t="s">
        <v>180</v>
      </c>
      <c r="C70" s="5" t="s">
        <v>181</v>
      </c>
      <c r="D70" s="5" t="s">
        <v>75</v>
      </c>
      <c r="E70" s="5" t="s">
        <v>122</v>
      </c>
      <c r="F70" s="5" t="s">
        <v>123</v>
      </c>
      <c r="G70" s="5"/>
      <c r="H70" s="5" t="s">
        <v>48</v>
      </c>
      <c r="I70" s="6" t="n">
        <v>2137</v>
      </c>
      <c r="J70" s="5" t="n">
        <f aca="false">IF(I70="","",IF(H70="EUR bn",I70*1000,I70))</f>
        <v>2137</v>
      </c>
      <c r="K70" s="5" t="str">
        <f aca="false">IF(H70="EUR bn","EUR m",H70)</f>
        <v>EUR m</v>
      </c>
      <c r="L70" s="5" t="s">
        <v>49</v>
      </c>
      <c r="M70" s="5" t="s">
        <v>50</v>
      </c>
      <c r="N70" s="7" t="s">
        <v>51</v>
      </c>
      <c r="O70" s="7" t="s">
        <v>52</v>
      </c>
      <c r="P70" s="7" t="s">
        <v>53</v>
      </c>
      <c r="Q70" s="5" t="str">
        <f aca="false">B70&amp;"|"&amp;D70</f>
        <v>A10|FY_2025</v>
      </c>
      <c r="R70" s="5"/>
      <c r="S70" s="5" t="s">
        <v>54</v>
      </c>
    </row>
    <row r="71" customFormat="false" ht="23.25" hidden="false" customHeight="true" outlineLevel="0" collapsed="false">
      <c r="A71" s="5" t="s">
        <v>189</v>
      </c>
      <c r="B71" s="5" t="s">
        <v>180</v>
      </c>
      <c r="C71" s="5" t="s">
        <v>181</v>
      </c>
      <c r="D71" s="5" t="s">
        <v>79</v>
      </c>
      <c r="E71" s="5" t="s">
        <v>126</v>
      </c>
      <c r="F71" s="5" t="s">
        <v>127</v>
      </c>
      <c r="G71" s="5"/>
      <c r="H71" s="5" t="s">
        <v>48</v>
      </c>
      <c r="I71" s="6" t="n">
        <v>906</v>
      </c>
      <c r="J71" s="5" t="n">
        <f aca="false">IF(I71="","",IF(H71="EUR bn",I71*1000,I71))</f>
        <v>906</v>
      </c>
      <c r="K71" s="5" t="str">
        <f aca="false">IF(H71="EUR bn","EUR m",H71)</f>
        <v>EUR m</v>
      </c>
      <c r="L71" s="5" t="s">
        <v>49</v>
      </c>
      <c r="M71" s="5" t="s">
        <v>50</v>
      </c>
      <c r="N71" s="7" t="s">
        <v>51</v>
      </c>
      <c r="O71" s="7" t="s">
        <v>52</v>
      </c>
      <c r="P71" s="7" t="s">
        <v>53</v>
      </c>
      <c r="Q71" s="5" t="str">
        <f aca="false">B71&amp;"|"&amp;D71</f>
        <v>A10|H1_2026</v>
      </c>
      <c r="R71" s="5"/>
      <c r="S71" s="5" t="s">
        <v>54</v>
      </c>
    </row>
    <row r="72" customFormat="false" ht="23.25" hidden="false" customHeight="true" outlineLevel="0" collapsed="false">
      <c r="A72" s="5" t="s">
        <v>190</v>
      </c>
      <c r="B72" s="5" t="s">
        <v>191</v>
      </c>
      <c r="C72" s="5" t="s">
        <v>192</v>
      </c>
      <c r="D72" s="5" t="s">
        <v>56</v>
      </c>
      <c r="E72" s="5" t="s">
        <v>122</v>
      </c>
      <c r="F72" s="5" t="s">
        <v>123</v>
      </c>
      <c r="G72" s="5" t="s">
        <v>124</v>
      </c>
      <c r="H72" s="5" t="s">
        <v>48</v>
      </c>
      <c r="I72" s="6" t="n">
        <v>1696</v>
      </c>
      <c r="J72" s="5" t="n">
        <f aca="false">IF(I72="","",IF(H72="EUR bn",I72*1000,I72))</f>
        <v>1696</v>
      </c>
      <c r="K72" s="5" t="str">
        <f aca="false">IF(H72="EUR bn","EUR m",H72)</f>
        <v>EUR m</v>
      </c>
      <c r="L72" s="5" t="s">
        <v>49</v>
      </c>
      <c r="M72" s="5" t="s">
        <v>50</v>
      </c>
      <c r="N72" s="7" t="s">
        <v>51</v>
      </c>
      <c r="O72" s="7" t="s">
        <v>52</v>
      </c>
      <c r="P72" s="7" t="s">
        <v>53</v>
      </c>
      <c r="Q72" s="5" t="str">
        <f aca="false">B72&amp;"|"&amp;D72</f>
        <v>A11|FY_2023</v>
      </c>
      <c r="R72" s="5"/>
      <c r="S72" s="5" t="s">
        <v>54</v>
      </c>
    </row>
    <row r="73" customFormat="false" ht="23.25" hidden="false" customHeight="true" outlineLevel="0" collapsed="false">
      <c r="A73" s="5" t="s">
        <v>193</v>
      </c>
      <c r="B73" s="5" t="s">
        <v>191</v>
      </c>
      <c r="C73" s="5" t="s">
        <v>192</v>
      </c>
      <c r="D73" s="5" t="s">
        <v>61</v>
      </c>
      <c r="E73" s="5" t="s">
        <v>126</v>
      </c>
      <c r="F73" s="5" t="s">
        <v>127</v>
      </c>
      <c r="G73" s="5" t="s">
        <v>128</v>
      </c>
      <c r="H73" s="5" t="s">
        <v>48</v>
      </c>
      <c r="I73" s="6" t="n">
        <v>849</v>
      </c>
      <c r="J73" s="5" t="n">
        <f aca="false">IF(I73="","",IF(H73="EUR bn",I73*1000,I73))</f>
        <v>849</v>
      </c>
      <c r="K73" s="5" t="str">
        <f aca="false">IF(H73="EUR bn","EUR m",H73)</f>
        <v>EUR m</v>
      </c>
      <c r="L73" s="5" t="s">
        <v>49</v>
      </c>
      <c r="M73" s="5" t="s">
        <v>50</v>
      </c>
      <c r="N73" s="7" t="s">
        <v>51</v>
      </c>
      <c r="O73" s="7" t="s">
        <v>52</v>
      </c>
      <c r="P73" s="7" t="s">
        <v>53</v>
      </c>
      <c r="Q73" s="5" t="str">
        <f aca="false">B73&amp;"|"&amp;D73</f>
        <v>A11|H1_2024</v>
      </c>
      <c r="R73" s="5"/>
      <c r="S73" s="5" t="s">
        <v>54</v>
      </c>
    </row>
    <row r="74" customFormat="false" ht="23.25" hidden="false" customHeight="true" outlineLevel="0" collapsed="false">
      <c r="A74" s="5" t="s">
        <v>194</v>
      </c>
      <c r="B74" s="5" t="s">
        <v>191</v>
      </c>
      <c r="C74" s="5" t="s">
        <v>192</v>
      </c>
      <c r="D74" s="5" t="s">
        <v>66</v>
      </c>
      <c r="E74" s="5" t="s">
        <v>122</v>
      </c>
      <c r="F74" s="5" t="s">
        <v>123</v>
      </c>
      <c r="G74" s="5" t="s">
        <v>130</v>
      </c>
      <c r="H74" s="5" t="s">
        <v>48</v>
      </c>
      <c r="I74" s="6" t="n">
        <v>1884</v>
      </c>
      <c r="J74" s="5" t="n">
        <f aca="false">IF(I74="","",IF(H74="EUR bn",I74*1000,I74))</f>
        <v>1884</v>
      </c>
      <c r="K74" s="5" t="str">
        <f aca="false">IF(H74="EUR bn","EUR m",H74)</f>
        <v>EUR m</v>
      </c>
      <c r="L74" s="5" t="s">
        <v>49</v>
      </c>
      <c r="M74" s="5" t="s">
        <v>50</v>
      </c>
      <c r="N74" s="7" t="s">
        <v>51</v>
      </c>
      <c r="O74" s="7" t="s">
        <v>52</v>
      </c>
      <c r="P74" s="7" t="s">
        <v>53</v>
      </c>
      <c r="Q74" s="5" t="str">
        <f aca="false">B74&amp;"|"&amp;D74</f>
        <v>A11|FY_2024</v>
      </c>
      <c r="R74" s="5"/>
      <c r="S74" s="5" t="s">
        <v>54</v>
      </c>
    </row>
    <row r="75" customFormat="false" ht="23.25" hidden="false" customHeight="true" outlineLevel="0" collapsed="false">
      <c r="A75" s="5" t="s">
        <v>195</v>
      </c>
      <c r="B75" s="5" t="s">
        <v>191</v>
      </c>
      <c r="C75" s="5" t="s">
        <v>192</v>
      </c>
      <c r="D75" s="5" t="s">
        <v>70</v>
      </c>
      <c r="E75" s="5" t="s">
        <v>126</v>
      </c>
      <c r="F75" s="5" t="s">
        <v>127</v>
      </c>
      <c r="G75" s="5" t="s">
        <v>132</v>
      </c>
      <c r="H75" s="5" t="s">
        <v>48</v>
      </c>
      <c r="I75" s="6" t="n">
        <v>1156</v>
      </c>
      <c r="J75" s="5" t="n">
        <f aca="false">IF(I75="","",IF(H75="EUR bn",I75*1000,I75))</f>
        <v>1156</v>
      </c>
      <c r="K75" s="5" t="str">
        <f aca="false">IF(H75="EUR bn","EUR m",H75)</f>
        <v>EUR m</v>
      </c>
      <c r="L75" s="5" t="s">
        <v>49</v>
      </c>
      <c r="M75" s="5" t="s">
        <v>50</v>
      </c>
      <c r="N75" s="7" t="s">
        <v>51</v>
      </c>
      <c r="O75" s="7" t="s">
        <v>52</v>
      </c>
      <c r="P75" s="7" t="s">
        <v>196</v>
      </c>
      <c r="Q75" s="5" t="str">
        <f aca="false">B75&amp;"|"&amp;D75</f>
        <v>A11|H1_2025</v>
      </c>
      <c r="R75" s="5"/>
      <c r="S75" s="5" t="s">
        <v>54</v>
      </c>
    </row>
    <row r="76" customFormat="false" ht="34.5" hidden="false" customHeight="true" outlineLevel="0" collapsed="false">
      <c r="A76" s="5" t="s">
        <v>197</v>
      </c>
      <c r="B76" s="5" t="s">
        <v>191</v>
      </c>
      <c r="C76" s="5" t="s">
        <v>192</v>
      </c>
      <c r="D76" s="5" t="s">
        <v>75</v>
      </c>
      <c r="E76" s="5" t="s">
        <v>122</v>
      </c>
      <c r="F76" s="5" t="s">
        <v>123</v>
      </c>
      <c r="G76" s="5"/>
      <c r="H76" s="5" t="s">
        <v>48</v>
      </c>
      <c r="I76" s="6" t="n">
        <v>2362</v>
      </c>
      <c r="J76" s="5" t="n">
        <f aca="false">IF(I76="","",IF(H76="EUR bn",I76*1000,I76))</f>
        <v>2362</v>
      </c>
      <c r="K76" s="5" t="str">
        <f aca="false">IF(H76="EUR bn","EUR m",H76)</f>
        <v>EUR m</v>
      </c>
      <c r="L76" s="5" t="s">
        <v>49</v>
      </c>
      <c r="M76" s="5" t="s">
        <v>50</v>
      </c>
      <c r="N76" s="7" t="s">
        <v>51</v>
      </c>
      <c r="O76" s="7" t="s">
        <v>52</v>
      </c>
      <c r="P76" s="7" t="s">
        <v>198</v>
      </c>
      <c r="Q76" s="5" t="str">
        <f aca="false">B76&amp;"|"&amp;D76</f>
        <v>A11|FY_2025</v>
      </c>
      <c r="R76" s="5"/>
      <c r="S76" s="5" t="s">
        <v>54</v>
      </c>
    </row>
    <row r="77" customFormat="false" ht="23.25" hidden="false" customHeight="true" outlineLevel="0" collapsed="false">
      <c r="A77" s="5" t="s">
        <v>199</v>
      </c>
      <c r="B77" s="5" t="s">
        <v>191</v>
      </c>
      <c r="C77" s="5" t="s">
        <v>192</v>
      </c>
      <c r="D77" s="5" t="s">
        <v>79</v>
      </c>
      <c r="E77" s="5" t="s">
        <v>126</v>
      </c>
      <c r="F77" s="5" t="s">
        <v>127</v>
      </c>
      <c r="G77" s="5"/>
      <c r="H77" s="5" t="s">
        <v>48</v>
      </c>
      <c r="I77" s="6" t="n">
        <v>854</v>
      </c>
      <c r="J77" s="5" t="n">
        <f aca="false">IF(I77="","",IF(H77="EUR bn",I77*1000,I77))</f>
        <v>854</v>
      </c>
      <c r="K77" s="5" t="str">
        <f aca="false">IF(H77="EUR bn","EUR m",H77)</f>
        <v>EUR m</v>
      </c>
      <c r="L77" s="5" t="s">
        <v>49</v>
      </c>
      <c r="M77" s="5" t="s">
        <v>50</v>
      </c>
      <c r="N77" s="7" t="s">
        <v>51</v>
      </c>
      <c r="O77" s="7" t="s">
        <v>52</v>
      </c>
      <c r="P77" s="7" t="s">
        <v>53</v>
      </c>
      <c r="Q77" s="5" t="str">
        <f aca="false">B77&amp;"|"&amp;D77</f>
        <v>A11|H1_2026</v>
      </c>
      <c r="R77" s="5"/>
      <c r="S77" s="5" t="s">
        <v>54</v>
      </c>
    </row>
    <row r="78" customFormat="false" ht="34.5" hidden="false" customHeight="true" outlineLevel="0" collapsed="false">
      <c r="A78" s="5" t="s">
        <v>200</v>
      </c>
      <c r="B78" s="5" t="s">
        <v>201</v>
      </c>
      <c r="C78" s="5" t="s">
        <v>202</v>
      </c>
      <c r="D78" s="5" t="s">
        <v>44</v>
      </c>
      <c r="E78" s="5" t="s">
        <v>45</v>
      </c>
      <c r="F78" s="5" t="s">
        <v>46</v>
      </c>
      <c r="G78" s="5" t="s">
        <v>119</v>
      </c>
      <c r="H78" s="5" t="s">
        <v>48</v>
      </c>
      <c r="I78" s="6" t="n">
        <v>1176</v>
      </c>
      <c r="J78" s="5" t="n">
        <f aca="false">IF(I78="","",IF(H78="EUR bn",I78*1000,I78))</f>
        <v>1176</v>
      </c>
      <c r="K78" s="5" t="str">
        <f aca="false">IF(H78="EUR bn","EUR m",H78)</f>
        <v>EUR m</v>
      </c>
      <c r="L78" s="5" t="s">
        <v>49</v>
      </c>
      <c r="M78" s="5" t="s">
        <v>50</v>
      </c>
      <c r="N78" s="7" t="s">
        <v>51</v>
      </c>
      <c r="O78" s="7" t="s">
        <v>52</v>
      </c>
      <c r="P78" s="7" t="s">
        <v>203</v>
      </c>
      <c r="Q78" s="5" t="str">
        <f aca="false">B78&amp;"|"&amp;D78</f>
        <v>A12|H1_2023</v>
      </c>
      <c r="R78" s="5" t="s">
        <v>204</v>
      </c>
      <c r="S78" s="5" t="s">
        <v>54</v>
      </c>
    </row>
    <row r="79" customFormat="false" ht="23.25" hidden="false" customHeight="true" outlineLevel="0" collapsed="false">
      <c r="A79" s="5" t="s">
        <v>205</v>
      </c>
      <c r="B79" s="5" t="s">
        <v>201</v>
      </c>
      <c r="C79" s="5" t="s">
        <v>202</v>
      </c>
      <c r="D79" s="5" t="s">
        <v>56</v>
      </c>
      <c r="E79" s="5" t="s">
        <v>122</v>
      </c>
      <c r="F79" s="5" t="s">
        <v>123</v>
      </c>
      <c r="G79" s="5" t="s">
        <v>124</v>
      </c>
      <c r="H79" s="5" t="s">
        <v>48</v>
      </c>
      <c r="I79" s="6" t="n">
        <v>2656</v>
      </c>
      <c r="J79" s="5" t="n">
        <f aca="false">IF(I79="","",IF(H79="EUR bn",I79*1000,I79))</f>
        <v>2656</v>
      </c>
      <c r="K79" s="5" t="str">
        <f aca="false">IF(H79="EUR bn","EUR m",H79)</f>
        <v>EUR m</v>
      </c>
      <c r="L79" s="5" t="s">
        <v>49</v>
      </c>
      <c r="M79" s="5" t="s">
        <v>50</v>
      </c>
      <c r="N79" s="7" t="s">
        <v>51</v>
      </c>
      <c r="O79" s="7" t="s">
        <v>52</v>
      </c>
      <c r="P79" s="7" t="s">
        <v>53</v>
      </c>
      <c r="Q79" s="5" t="str">
        <f aca="false">B79&amp;"|"&amp;D79</f>
        <v>A12|FY_2023</v>
      </c>
      <c r="R79" s="5"/>
      <c r="S79" s="5" t="s">
        <v>54</v>
      </c>
    </row>
    <row r="80" customFormat="false" ht="23.25" hidden="false" customHeight="true" outlineLevel="0" collapsed="false">
      <c r="A80" s="5" t="s">
        <v>206</v>
      </c>
      <c r="B80" s="5" t="s">
        <v>201</v>
      </c>
      <c r="C80" s="5" t="s">
        <v>202</v>
      </c>
      <c r="D80" s="5" t="s">
        <v>61</v>
      </c>
      <c r="E80" s="5" t="s">
        <v>126</v>
      </c>
      <c r="F80" s="5" t="s">
        <v>127</v>
      </c>
      <c r="G80" s="5" t="s">
        <v>128</v>
      </c>
      <c r="H80" s="5" t="s">
        <v>48</v>
      </c>
      <c r="I80" s="6" t="n">
        <v>1364</v>
      </c>
      <c r="J80" s="5" t="n">
        <f aca="false">IF(I80="","",IF(H80="EUR bn",I80*1000,I80))</f>
        <v>1364</v>
      </c>
      <c r="K80" s="5" t="str">
        <f aca="false">IF(H80="EUR bn","EUR m",H80)</f>
        <v>EUR m</v>
      </c>
      <c r="L80" s="5" t="s">
        <v>49</v>
      </c>
      <c r="M80" s="5" t="s">
        <v>50</v>
      </c>
      <c r="N80" s="7" t="s">
        <v>51</v>
      </c>
      <c r="O80" s="7" t="s">
        <v>52</v>
      </c>
      <c r="P80" s="7" t="s">
        <v>53</v>
      </c>
      <c r="Q80" s="5" t="str">
        <f aca="false">B80&amp;"|"&amp;D80</f>
        <v>A12|H1_2024</v>
      </c>
      <c r="R80" s="5"/>
      <c r="S80" s="5" t="s">
        <v>54</v>
      </c>
    </row>
    <row r="81" customFormat="false" ht="23.25" hidden="false" customHeight="true" outlineLevel="0" collapsed="false">
      <c r="A81" s="5" t="s">
        <v>207</v>
      </c>
      <c r="B81" s="5" t="s">
        <v>201</v>
      </c>
      <c r="C81" s="5" t="s">
        <v>202</v>
      </c>
      <c r="D81" s="5" t="s">
        <v>66</v>
      </c>
      <c r="E81" s="5" t="s">
        <v>122</v>
      </c>
      <c r="F81" s="5" t="s">
        <v>123</v>
      </c>
      <c r="G81" s="5" t="s">
        <v>130</v>
      </c>
      <c r="H81" s="5" t="s">
        <v>48</v>
      </c>
      <c r="I81" s="6" t="n">
        <v>2985</v>
      </c>
      <c r="J81" s="5" t="n">
        <f aca="false">IF(I81="","",IF(H81="EUR bn",I81*1000,I81))</f>
        <v>2985</v>
      </c>
      <c r="K81" s="5" t="str">
        <f aca="false">IF(H81="EUR bn","EUR m",H81)</f>
        <v>EUR m</v>
      </c>
      <c r="L81" s="5" t="s">
        <v>49</v>
      </c>
      <c r="M81" s="5" t="s">
        <v>50</v>
      </c>
      <c r="N81" s="7" t="s">
        <v>51</v>
      </c>
      <c r="O81" s="7" t="s">
        <v>52</v>
      </c>
      <c r="P81" s="7" t="s">
        <v>53</v>
      </c>
      <c r="Q81" s="5" t="str">
        <f aca="false">B81&amp;"|"&amp;D81</f>
        <v>A12|FY_2024</v>
      </c>
      <c r="R81" s="5"/>
      <c r="S81" s="5" t="s">
        <v>54</v>
      </c>
    </row>
    <row r="82" customFormat="false" ht="23.25" hidden="false" customHeight="true" outlineLevel="0" collapsed="false">
      <c r="A82" s="5" t="s">
        <v>208</v>
      </c>
      <c r="B82" s="5" t="s">
        <v>201</v>
      </c>
      <c r="C82" s="5" t="s">
        <v>202</v>
      </c>
      <c r="D82" s="5" t="s">
        <v>70</v>
      </c>
      <c r="E82" s="5" t="s">
        <v>126</v>
      </c>
      <c r="F82" s="5" t="s">
        <v>127</v>
      </c>
      <c r="G82" s="5" t="s">
        <v>132</v>
      </c>
      <c r="H82" s="5" t="s">
        <v>48</v>
      </c>
      <c r="I82" s="6" t="n">
        <v>1756</v>
      </c>
      <c r="J82" s="5" t="n">
        <f aca="false">IF(I82="","",IF(H82="EUR bn",I82*1000,I82))</f>
        <v>1756</v>
      </c>
      <c r="K82" s="5" t="str">
        <f aca="false">IF(H82="EUR bn","EUR m",H82)</f>
        <v>EUR m</v>
      </c>
      <c r="L82" s="5" t="s">
        <v>49</v>
      </c>
      <c r="M82" s="5" t="s">
        <v>50</v>
      </c>
      <c r="N82" s="7" t="s">
        <v>51</v>
      </c>
      <c r="O82" s="7" t="s">
        <v>52</v>
      </c>
      <c r="P82" s="7" t="s">
        <v>196</v>
      </c>
      <c r="Q82" s="5" t="str">
        <f aca="false">B82&amp;"|"&amp;D82</f>
        <v>A12|H1_2025</v>
      </c>
      <c r="R82" s="5"/>
      <c r="S82" s="5" t="s">
        <v>54</v>
      </c>
    </row>
    <row r="83" customFormat="false" ht="34.5" hidden="false" customHeight="true" outlineLevel="0" collapsed="false">
      <c r="A83" s="5" t="s">
        <v>209</v>
      </c>
      <c r="B83" s="5" t="s">
        <v>201</v>
      </c>
      <c r="C83" s="5" t="s">
        <v>202</v>
      </c>
      <c r="D83" s="5" t="s">
        <v>75</v>
      </c>
      <c r="E83" s="5" t="s">
        <v>122</v>
      </c>
      <c r="F83" s="5" t="s">
        <v>123</v>
      </c>
      <c r="G83" s="5"/>
      <c r="H83" s="5" t="s">
        <v>48</v>
      </c>
      <c r="I83" s="6" t="n">
        <v>4192</v>
      </c>
      <c r="J83" s="5" t="n">
        <f aca="false">IF(I83="","",IF(H83="EUR bn",I83*1000,I83))</f>
        <v>4192</v>
      </c>
      <c r="K83" s="5" t="str">
        <f aca="false">IF(H83="EUR bn","EUR m",H83)</f>
        <v>EUR m</v>
      </c>
      <c r="L83" s="5" t="s">
        <v>49</v>
      </c>
      <c r="M83" s="5" t="s">
        <v>50</v>
      </c>
      <c r="N83" s="7" t="s">
        <v>51</v>
      </c>
      <c r="O83" s="7" t="s">
        <v>52</v>
      </c>
      <c r="P83" s="7" t="s">
        <v>198</v>
      </c>
      <c r="Q83" s="5" t="str">
        <f aca="false">B83&amp;"|"&amp;D83</f>
        <v>A12|FY_2025</v>
      </c>
      <c r="R83" s="5"/>
      <c r="S83" s="5" t="s">
        <v>54</v>
      </c>
    </row>
    <row r="84" customFormat="false" ht="23.25" hidden="false" customHeight="true" outlineLevel="0" collapsed="false">
      <c r="A84" s="5" t="s">
        <v>210</v>
      </c>
      <c r="B84" s="5" t="s">
        <v>201</v>
      </c>
      <c r="C84" s="5" t="s">
        <v>202</v>
      </c>
      <c r="D84" s="5" t="s">
        <v>79</v>
      </c>
      <c r="E84" s="5" t="s">
        <v>126</v>
      </c>
      <c r="F84" s="5" t="s">
        <v>127</v>
      </c>
      <c r="G84" s="5"/>
      <c r="H84" s="5" t="s">
        <v>48</v>
      </c>
      <c r="I84" s="6" t="n">
        <v>1559</v>
      </c>
      <c r="J84" s="5" t="n">
        <f aca="false">IF(I84="","",IF(H84="EUR bn",I84*1000,I84))</f>
        <v>1559</v>
      </c>
      <c r="K84" s="5" t="str">
        <f aca="false">IF(H84="EUR bn","EUR m",H84)</f>
        <v>EUR m</v>
      </c>
      <c r="L84" s="5" t="s">
        <v>49</v>
      </c>
      <c r="M84" s="5" t="s">
        <v>50</v>
      </c>
      <c r="N84" s="7" t="s">
        <v>51</v>
      </c>
      <c r="O84" s="7" t="s">
        <v>52</v>
      </c>
      <c r="P84" s="7" t="s">
        <v>53</v>
      </c>
      <c r="Q84" s="5" t="str">
        <f aca="false">B84&amp;"|"&amp;D84</f>
        <v>A12|H1_2026</v>
      </c>
      <c r="R84" s="5"/>
      <c r="S84" s="5" t="s">
        <v>54</v>
      </c>
    </row>
    <row r="85" customFormat="false" ht="23.25" hidden="false" customHeight="true" outlineLevel="0" collapsed="false">
      <c r="A85" s="5" t="s">
        <v>211</v>
      </c>
      <c r="B85" s="5" t="s">
        <v>212</v>
      </c>
      <c r="C85" s="5" t="s">
        <v>213</v>
      </c>
      <c r="D85" s="5" t="s">
        <v>70</v>
      </c>
      <c r="E85" s="5" t="s">
        <v>126</v>
      </c>
      <c r="F85" s="5" t="s">
        <v>214</v>
      </c>
      <c r="G85" s="5" t="s">
        <v>215</v>
      </c>
      <c r="H85" s="5" t="s">
        <v>216</v>
      </c>
      <c r="I85" s="6" t="n">
        <v>0.7</v>
      </c>
      <c r="J85" s="5" t="n">
        <f aca="false">IF(I85="","",IF(H85="EUR bn",I85*1000,I85))</f>
        <v>700</v>
      </c>
      <c r="K85" s="5" t="str">
        <f aca="false">IF(H85="EUR bn","EUR m",H85)</f>
        <v>EUR m</v>
      </c>
      <c r="L85" s="5" t="s">
        <v>49</v>
      </c>
      <c r="M85" s="5" t="s">
        <v>217</v>
      </c>
      <c r="N85" s="7" t="s">
        <v>51</v>
      </c>
      <c r="O85" s="7" t="s">
        <v>52</v>
      </c>
      <c r="P85" s="7" t="s">
        <v>218</v>
      </c>
      <c r="Q85" s="5" t="str">
        <f aca="false">B85&amp;"|"&amp;D85</f>
        <v>X01|H1_2025</v>
      </c>
      <c r="R85" s="5" t="s">
        <v>219</v>
      </c>
      <c r="S85" s="5" t="s">
        <v>54</v>
      </c>
    </row>
    <row r="86" customFormat="false" ht="45.75" hidden="false" customHeight="true" outlineLevel="0" collapsed="false">
      <c r="A86" s="5" t="s">
        <v>220</v>
      </c>
      <c r="B86" s="5" t="s">
        <v>212</v>
      </c>
      <c r="C86" s="5" t="s">
        <v>213</v>
      </c>
      <c r="D86" s="5" t="s">
        <v>75</v>
      </c>
      <c r="E86" s="5" t="s">
        <v>122</v>
      </c>
      <c r="F86" s="5" t="s">
        <v>221</v>
      </c>
      <c r="G86" s="5"/>
      <c r="H86" s="5" t="s">
        <v>216</v>
      </c>
      <c r="I86" s="6" t="n">
        <v>3.1</v>
      </c>
      <c r="J86" s="5" t="n">
        <f aca="false">IF(I86="","",IF(H86="EUR bn",I86*1000,I86))</f>
        <v>3100</v>
      </c>
      <c r="K86" s="5" t="str">
        <f aca="false">IF(H86="EUR bn","EUR m",H86)</f>
        <v>EUR m</v>
      </c>
      <c r="L86" s="5" t="s">
        <v>222</v>
      </c>
      <c r="M86" s="5" t="s">
        <v>217</v>
      </c>
      <c r="N86" s="7" t="s">
        <v>51</v>
      </c>
      <c r="O86" s="7" t="s">
        <v>52</v>
      </c>
      <c r="P86" s="7" t="s">
        <v>223</v>
      </c>
      <c r="Q86" s="5" t="str">
        <f aca="false">B86&amp;"|"&amp;D86</f>
        <v>X01|FY_2025</v>
      </c>
      <c r="R86" s="5" t="s">
        <v>224</v>
      </c>
      <c r="S86" s="5" t="s">
        <v>225</v>
      </c>
    </row>
    <row r="87" customFormat="false" ht="23.25" hidden="false" customHeight="true" outlineLevel="0" collapsed="false">
      <c r="A87" s="5" t="s">
        <v>226</v>
      </c>
      <c r="B87" s="5" t="s">
        <v>212</v>
      </c>
      <c r="C87" s="5" t="s">
        <v>213</v>
      </c>
      <c r="D87" s="5" t="s">
        <v>79</v>
      </c>
      <c r="E87" s="5" t="s">
        <v>126</v>
      </c>
      <c r="F87" s="5" t="s">
        <v>227</v>
      </c>
      <c r="G87" s="5" t="s">
        <v>228</v>
      </c>
      <c r="H87" s="5" t="s">
        <v>216</v>
      </c>
      <c r="I87" s="6" t="n">
        <v>0.1</v>
      </c>
      <c r="J87" s="5" t="n">
        <f aca="false">IF(I87="","",IF(H87="EUR bn",I87*1000,I87))</f>
        <v>100</v>
      </c>
      <c r="K87" s="5" t="str">
        <f aca="false">IF(H87="EUR bn","EUR m",H87)</f>
        <v>EUR m</v>
      </c>
      <c r="L87" s="5" t="s">
        <v>49</v>
      </c>
      <c r="M87" s="5" t="s">
        <v>217</v>
      </c>
      <c r="N87" s="7" t="s">
        <v>51</v>
      </c>
      <c r="O87" s="7" t="s">
        <v>52</v>
      </c>
      <c r="P87" s="7" t="s">
        <v>229</v>
      </c>
      <c r="Q87" s="5" t="str">
        <f aca="false">B87&amp;"|"&amp;D87</f>
        <v>X01|H1_2026</v>
      </c>
      <c r="R87" s="5" t="s">
        <v>230</v>
      </c>
      <c r="S87" s="5" t="s">
        <v>54</v>
      </c>
    </row>
    <row r="88" customFormat="false" ht="45.75" hidden="false" customHeight="true" outlineLevel="0" collapsed="false">
      <c r="A88" s="5" t="s">
        <v>231</v>
      </c>
      <c r="B88" s="5" t="s">
        <v>232</v>
      </c>
      <c r="C88" s="5" t="s">
        <v>233</v>
      </c>
      <c r="D88" s="5" t="s">
        <v>70</v>
      </c>
      <c r="E88" s="5" t="s">
        <v>71</v>
      </c>
      <c r="F88" s="5" t="s">
        <v>234</v>
      </c>
      <c r="G88" s="5"/>
      <c r="H88" s="5" t="s">
        <v>216</v>
      </c>
      <c r="I88" s="6" t="n">
        <v>0.4</v>
      </c>
      <c r="J88" s="5" t="n">
        <f aca="false">IF(I88="","",IF(H88="EUR bn",I88*1000,I88))</f>
        <v>400</v>
      </c>
      <c r="K88" s="5" t="str">
        <f aca="false">IF(H88="EUR bn","EUR m",H88)</f>
        <v>EUR m</v>
      </c>
      <c r="L88" s="5" t="s">
        <v>49</v>
      </c>
      <c r="M88" s="5" t="s">
        <v>217</v>
      </c>
      <c r="N88" s="7" t="s">
        <v>51</v>
      </c>
      <c r="O88" s="7" t="s">
        <v>52</v>
      </c>
      <c r="P88" s="7" t="s">
        <v>235</v>
      </c>
      <c r="Q88" s="5" t="str">
        <f aca="false">B88&amp;"|"&amp;D88</f>
        <v>X02|H1_2025</v>
      </c>
      <c r="R88" s="5" t="s">
        <v>236</v>
      </c>
      <c r="S88" s="5" t="s">
        <v>54</v>
      </c>
    </row>
    <row r="89" customFormat="false" ht="23.25" hidden="false" customHeight="true" outlineLevel="0" collapsed="false">
      <c r="A89" s="5" t="s">
        <v>237</v>
      </c>
      <c r="B89" s="5" t="s">
        <v>232</v>
      </c>
      <c r="C89" s="5" t="s">
        <v>233</v>
      </c>
      <c r="D89" s="5" t="s">
        <v>75</v>
      </c>
      <c r="E89" s="5" t="s">
        <v>122</v>
      </c>
      <c r="F89" s="5" t="s">
        <v>221</v>
      </c>
      <c r="G89" s="5"/>
      <c r="H89" s="5" t="s">
        <v>216</v>
      </c>
      <c r="I89" s="6" t="n">
        <v>0.7</v>
      </c>
      <c r="J89" s="5" t="n">
        <f aca="false">IF(I89="","",IF(H89="EUR bn",I89*1000,I89))</f>
        <v>700</v>
      </c>
      <c r="K89" s="5" t="str">
        <f aca="false">IF(H89="EUR bn","EUR m",H89)</f>
        <v>EUR m</v>
      </c>
      <c r="L89" s="5" t="s">
        <v>49</v>
      </c>
      <c r="M89" s="5" t="s">
        <v>217</v>
      </c>
      <c r="N89" s="7" t="s">
        <v>51</v>
      </c>
      <c r="O89" s="7" t="s">
        <v>52</v>
      </c>
      <c r="P89" s="7" t="s">
        <v>238</v>
      </c>
      <c r="Q89" s="5" t="str">
        <f aca="false">B89&amp;"|"&amp;D89</f>
        <v>X02|FY_2025</v>
      </c>
      <c r="R89" s="5" t="s">
        <v>236</v>
      </c>
      <c r="S89" s="5" t="s">
        <v>54</v>
      </c>
    </row>
    <row r="90" customFormat="false" ht="34.5" hidden="false" customHeight="true" outlineLevel="0" collapsed="false">
      <c r="A90" s="5" t="s">
        <v>239</v>
      </c>
      <c r="B90" s="5" t="s">
        <v>240</v>
      </c>
      <c r="C90" s="5" t="s">
        <v>241</v>
      </c>
      <c r="D90" s="5" t="s">
        <v>70</v>
      </c>
      <c r="E90" s="5" t="s">
        <v>71</v>
      </c>
      <c r="F90" s="5" t="s">
        <v>234</v>
      </c>
      <c r="G90" s="5" t="s">
        <v>242</v>
      </c>
      <c r="H90" s="5" t="s">
        <v>216</v>
      </c>
      <c r="I90" s="6" t="n">
        <v>0.4</v>
      </c>
      <c r="J90" s="5" t="n">
        <f aca="false">IF(I90="","",IF(H90="EUR bn",I90*1000,I90))</f>
        <v>400</v>
      </c>
      <c r="K90" s="5" t="str">
        <f aca="false">IF(H90="EUR bn","EUR m",H90)</f>
        <v>EUR m</v>
      </c>
      <c r="L90" s="5" t="s">
        <v>49</v>
      </c>
      <c r="M90" s="5" t="s">
        <v>217</v>
      </c>
      <c r="N90" s="7" t="s">
        <v>51</v>
      </c>
      <c r="O90" s="7" t="s">
        <v>52</v>
      </c>
      <c r="P90" s="7" t="s">
        <v>243</v>
      </c>
      <c r="Q90" s="5" t="str">
        <f aca="false">B90&amp;"|"&amp;D90</f>
        <v>X03|H1_2025</v>
      </c>
      <c r="R90" s="5"/>
      <c r="S90" s="5" t="s">
        <v>54</v>
      </c>
    </row>
    <row r="91" customFormat="false" ht="23.25" hidden="false" customHeight="true" outlineLevel="0" collapsed="false">
      <c r="A91" s="5" t="s">
        <v>244</v>
      </c>
      <c r="B91" s="5" t="s">
        <v>240</v>
      </c>
      <c r="C91" s="5" t="s">
        <v>241</v>
      </c>
      <c r="D91" s="5" t="s">
        <v>75</v>
      </c>
      <c r="E91" s="5" t="s">
        <v>122</v>
      </c>
      <c r="F91" s="5" t="s">
        <v>221</v>
      </c>
      <c r="G91" s="5"/>
      <c r="H91" s="5" t="s">
        <v>216</v>
      </c>
      <c r="I91" s="6" t="n">
        <v>0.7</v>
      </c>
      <c r="J91" s="5" t="n">
        <f aca="false">IF(I91="","",IF(H91="EUR bn",I91*1000,I91))</f>
        <v>700</v>
      </c>
      <c r="K91" s="5" t="str">
        <f aca="false">IF(H91="EUR bn","EUR m",H91)</f>
        <v>EUR m</v>
      </c>
      <c r="L91" s="5" t="s">
        <v>49</v>
      </c>
      <c r="M91" s="5" t="s">
        <v>217</v>
      </c>
      <c r="N91" s="7" t="s">
        <v>51</v>
      </c>
      <c r="O91" s="7" t="s">
        <v>52</v>
      </c>
      <c r="P91" s="7" t="s">
        <v>245</v>
      </c>
      <c r="Q91" s="5" t="str">
        <f aca="false">B91&amp;"|"&amp;D91</f>
        <v>X03|FY_2025</v>
      </c>
      <c r="R91" s="5"/>
      <c r="S91" s="5" t="s">
        <v>54</v>
      </c>
    </row>
    <row r="92" customFormat="false" ht="23.25" hidden="false" customHeight="true" outlineLevel="0" collapsed="false">
      <c r="A92" s="5" t="s">
        <v>246</v>
      </c>
      <c r="B92" s="5" t="s">
        <v>240</v>
      </c>
      <c r="C92" s="5" t="s">
        <v>241</v>
      </c>
      <c r="D92" s="5" t="s">
        <v>79</v>
      </c>
      <c r="E92" s="5" t="s">
        <v>126</v>
      </c>
      <c r="F92" s="5" t="s">
        <v>247</v>
      </c>
      <c r="G92" s="5"/>
      <c r="H92" s="5" t="s">
        <v>216</v>
      </c>
      <c r="I92" s="6" t="n">
        <v>0.4</v>
      </c>
      <c r="J92" s="5" t="n">
        <f aca="false">IF(I92="","",IF(H92="EUR bn",I92*1000,I92))</f>
        <v>400</v>
      </c>
      <c r="K92" s="5" t="str">
        <f aca="false">IF(H92="EUR bn","EUR m",H92)</f>
        <v>EUR m</v>
      </c>
      <c r="L92" s="5" t="s">
        <v>49</v>
      </c>
      <c r="M92" s="5" t="s">
        <v>217</v>
      </c>
      <c r="N92" s="7" t="s">
        <v>51</v>
      </c>
      <c r="O92" s="7" t="s">
        <v>52</v>
      </c>
      <c r="P92" s="7" t="s">
        <v>248</v>
      </c>
      <c r="Q92" s="5" t="str">
        <f aca="false">B92&amp;"|"&amp;D92</f>
        <v>X03|H1_2026</v>
      </c>
      <c r="R92" s="5"/>
      <c r="S92" s="5" t="s">
        <v>54</v>
      </c>
    </row>
    <row r="93" customFormat="false" ht="34.5" hidden="false" customHeight="true" outlineLevel="0" collapsed="false">
      <c r="A93" s="5" t="s">
        <v>249</v>
      </c>
      <c r="B93" s="5" t="s">
        <v>250</v>
      </c>
      <c r="C93" s="5" t="s">
        <v>251</v>
      </c>
      <c r="D93" s="5" t="s">
        <v>79</v>
      </c>
      <c r="E93" s="5" t="s">
        <v>126</v>
      </c>
      <c r="F93" s="5" t="s">
        <v>227</v>
      </c>
      <c r="G93" s="5" t="s">
        <v>252</v>
      </c>
      <c r="H93" s="5" t="s">
        <v>216</v>
      </c>
      <c r="I93" s="6" t="n">
        <v>0.3</v>
      </c>
      <c r="J93" s="5" t="n">
        <f aca="false">IF(I93="","",IF(H93="EUR bn",I93*1000,I93))</f>
        <v>300</v>
      </c>
      <c r="K93" s="5" t="str">
        <f aca="false">IF(H93="EUR bn","EUR m",H93)</f>
        <v>EUR m</v>
      </c>
      <c r="L93" s="5" t="s">
        <v>49</v>
      </c>
      <c r="M93" s="5" t="s">
        <v>217</v>
      </c>
      <c r="N93" s="7" t="s">
        <v>51</v>
      </c>
      <c r="O93" s="7" t="s">
        <v>52</v>
      </c>
      <c r="P93" s="7" t="s">
        <v>253</v>
      </c>
      <c r="Q93" s="5" t="str">
        <f aca="false">B93&amp;"|"&amp;D93</f>
        <v>X04|H1_2026</v>
      </c>
      <c r="R93" s="5" t="s">
        <v>254</v>
      </c>
      <c r="S93" s="5" t="s">
        <v>54</v>
      </c>
    </row>
    <row r="94" customFormat="false" ht="34.5" hidden="false" customHeight="true" outlineLevel="0" collapsed="false">
      <c r="A94" s="5" t="s">
        <v>255</v>
      </c>
      <c r="B94" s="5" t="s">
        <v>250</v>
      </c>
      <c r="C94" s="5" t="s">
        <v>251</v>
      </c>
      <c r="D94" s="5" t="s">
        <v>75</v>
      </c>
      <c r="E94" s="5" t="s">
        <v>256</v>
      </c>
      <c r="F94" s="5" t="s">
        <v>257</v>
      </c>
      <c r="G94" s="5"/>
      <c r="H94" s="5" t="s">
        <v>216</v>
      </c>
      <c r="I94" s="8"/>
      <c r="J94" s="5" t="str">
        <f aca="false">IF(I94="","",IF(H94="EUR bn",I94*1000,I94))</f>
        <v/>
      </c>
      <c r="K94" s="5" t="str">
        <f aca="false">IF(H94="EUR bn","EUR m",H94)</f>
        <v>EUR m</v>
      </c>
      <c r="L94" s="5" t="s">
        <v>49</v>
      </c>
      <c r="M94" s="5" t="s">
        <v>217</v>
      </c>
      <c r="N94" s="7" t="s">
        <v>51</v>
      </c>
      <c r="O94" s="7" t="s">
        <v>258</v>
      </c>
      <c r="P94" s="7" t="s">
        <v>259</v>
      </c>
      <c r="Q94" s="5" t="str">
        <f aca="false">B94&amp;"|"&amp;D94</f>
        <v>X04|FY_2025</v>
      </c>
      <c r="R94" s="5" t="s">
        <v>260</v>
      </c>
      <c r="S94" s="5" t="s">
        <v>261</v>
      </c>
    </row>
    <row r="95" customFormat="false" ht="34.5" hidden="false" customHeight="true" outlineLevel="0" collapsed="false">
      <c r="A95" s="5" t="s">
        <v>262</v>
      </c>
      <c r="B95" s="5" t="s">
        <v>263</v>
      </c>
      <c r="C95" s="5" t="s">
        <v>264</v>
      </c>
      <c r="D95" s="5" t="s">
        <v>44</v>
      </c>
      <c r="E95" s="5" t="s">
        <v>45</v>
      </c>
      <c r="F95" s="5" t="s">
        <v>265</v>
      </c>
      <c r="G95" s="5"/>
      <c r="H95" s="5" t="s">
        <v>48</v>
      </c>
      <c r="I95" s="6" t="n">
        <v>0</v>
      </c>
      <c r="J95" s="5" t="n">
        <f aca="false">IF(I95="","",IF(H95="EUR bn",I95*1000,I95))</f>
        <v>0</v>
      </c>
      <c r="K95" s="5" t="str">
        <f aca="false">IF(H95="EUR bn","EUR m",H95)</f>
        <v>EUR m</v>
      </c>
      <c r="L95" s="5" t="s">
        <v>49</v>
      </c>
      <c r="M95" s="5" t="s">
        <v>50</v>
      </c>
      <c r="N95" s="7" t="s">
        <v>51</v>
      </c>
      <c r="O95" s="7" t="s">
        <v>52</v>
      </c>
      <c r="P95" s="7" t="s">
        <v>266</v>
      </c>
      <c r="Q95" s="5" t="str">
        <f aca="false">B95&amp;"|"&amp;D95</f>
        <v>X05|H1_2023</v>
      </c>
      <c r="R95" s="5" t="s">
        <v>267</v>
      </c>
      <c r="S95" s="5" t="s">
        <v>54</v>
      </c>
    </row>
    <row r="96" customFormat="false" ht="34.5" hidden="false" customHeight="true" outlineLevel="0" collapsed="false">
      <c r="A96" s="5" t="s">
        <v>268</v>
      </c>
      <c r="B96" s="5" t="s">
        <v>263</v>
      </c>
      <c r="C96" s="5" t="s">
        <v>264</v>
      </c>
      <c r="D96" s="5" t="s">
        <v>56</v>
      </c>
      <c r="E96" s="5" t="s">
        <v>269</v>
      </c>
      <c r="F96" s="5" t="s">
        <v>270</v>
      </c>
      <c r="G96" s="5"/>
      <c r="H96" s="5" t="s">
        <v>48</v>
      </c>
      <c r="I96" s="8" t="n">
        <v>2</v>
      </c>
      <c r="J96" s="5" t="n">
        <f aca="false">IF(I96="","",IF(H96="EUR bn",I96*1000,I96))</f>
        <v>2</v>
      </c>
      <c r="K96" s="5" t="str">
        <f aca="false">IF(H96="EUR bn","EUR m",H96)</f>
        <v>EUR m</v>
      </c>
      <c r="L96" s="5" t="s">
        <v>49</v>
      </c>
      <c r="M96" s="5" t="s">
        <v>50</v>
      </c>
      <c r="N96" s="7" t="s">
        <v>51</v>
      </c>
      <c r="O96" s="7" t="s">
        <v>52</v>
      </c>
      <c r="P96" s="7" t="s">
        <v>271</v>
      </c>
      <c r="Q96" s="5" t="str">
        <f aca="false">B96&amp;"|"&amp;D96</f>
        <v>X05|FY_2023</v>
      </c>
      <c r="R96" s="5" t="s">
        <v>272</v>
      </c>
      <c r="S96" s="5" t="s">
        <v>54</v>
      </c>
    </row>
    <row r="97" customFormat="false" ht="23.25" hidden="false" customHeight="true" outlineLevel="0" collapsed="false">
      <c r="A97" s="5" t="s">
        <v>273</v>
      </c>
      <c r="B97" s="5" t="s">
        <v>263</v>
      </c>
      <c r="C97" s="5" t="s">
        <v>264</v>
      </c>
      <c r="D97" s="5" t="s">
        <v>61</v>
      </c>
      <c r="E97" s="5" t="s">
        <v>62</v>
      </c>
      <c r="F97" s="5" t="s">
        <v>274</v>
      </c>
      <c r="G97" s="5"/>
      <c r="H97" s="5" t="s">
        <v>48</v>
      </c>
      <c r="I97" s="6" t="n">
        <v>0</v>
      </c>
      <c r="J97" s="5" t="n">
        <f aca="false">IF(I97="","",IF(H97="EUR bn",I97*1000,I97))</f>
        <v>0</v>
      </c>
      <c r="K97" s="5" t="str">
        <f aca="false">IF(H97="EUR bn","EUR m",H97)</f>
        <v>EUR m</v>
      </c>
      <c r="L97" s="5" t="s">
        <v>49</v>
      </c>
      <c r="M97" s="5" t="s">
        <v>50</v>
      </c>
      <c r="N97" s="7" t="s">
        <v>51</v>
      </c>
      <c r="O97" s="7" t="s">
        <v>52</v>
      </c>
      <c r="P97" s="7" t="s">
        <v>275</v>
      </c>
      <c r="Q97" s="5" t="str">
        <f aca="false">B97&amp;"|"&amp;D97</f>
        <v>X05|H1_2024</v>
      </c>
      <c r="R97" s="5" t="s">
        <v>276</v>
      </c>
      <c r="S97" s="5" t="s">
        <v>54</v>
      </c>
    </row>
    <row r="98" customFormat="false" ht="34.5" hidden="false" customHeight="true" outlineLevel="0" collapsed="false">
      <c r="A98" s="5" t="s">
        <v>277</v>
      </c>
      <c r="B98" s="5" t="s">
        <v>263</v>
      </c>
      <c r="C98" s="5" t="s">
        <v>264</v>
      </c>
      <c r="D98" s="5" t="s">
        <v>66</v>
      </c>
      <c r="E98" s="5" t="s">
        <v>278</v>
      </c>
      <c r="F98" s="5" t="s">
        <v>279</v>
      </c>
      <c r="G98" s="5"/>
      <c r="H98" s="5" t="s">
        <v>48</v>
      </c>
      <c r="I98" s="8" t="n">
        <v>3</v>
      </c>
      <c r="J98" s="5" t="n">
        <f aca="false">IF(I98="","",IF(H98="EUR bn",I98*1000,I98))</f>
        <v>3</v>
      </c>
      <c r="K98" s="5" t="str">
        <f aca="false">IF(H98="EUR bn","EUR m",H98)</f>
        <v>EUR m</v>
      </c>
      <c r="L98" s="5" t="s">
        <v>49</v>
      </c>
      <c r="M98" s="5" t="s">
        <v>50</v>
      </c>
      <c r="N98" s="7" t="s">
        <v>51</v>
      </c>
      <c r="O98" s="7" t="s">
        <v>52</v>
      </c>
      <c r="P98" s="7" t="s">
        <v>280</v>
      </c>
      <c r="Q98" s="5" t="str">
        <f aca="false">B98&amp;"|"&amp;D98</f>
        <v>X05|FY_2024</v>
      </c>
      <c r="R98" s="5" t="s">
        <v>272</v>
      </c>
      <c r="S98" s="5" t="s">
        <v>54</v>
      </c>
    </row>
    <row r="99" customFormat="false" ht="34.5" hidden="false" customHeight="true" outlineLevel="0" collapsed="false">
      <c r="A99" s="5" t="s">
        <v>281</v>
      </c>
      <c r="B99" s="5" t="s">
        <v>263</v>
      </c>
      <c r="C99" s="5" t="s">
        <v>264</v>
      </c>
      <c r="D99" s="5" t="s">
        <v>70</v>
      </c>
      <c r="E99" s="5" t="s">
        <v>71</v>
      </c>
      <c r="F99" s="5" t="s">
        <v>282</v>
      </c>
      <c r="G99" s="5"/>
      <c r="H99" s="5" t="s">
        <v>48</v>
      </c>
      <c r="I99" s="6" t="n">
        <v>295</v>
      </c>
      <c r="J99" s="5" t="n">
        <f aca="false">IF(I99="","",IF(H99="EUR bn",I99*1000,I99))</f>
        <v>295</v>
      </c>
      <c r="K99" s="5" t="str">
        <f aca="false">IF(H99="EUR bn","EUR m",H99)</f>
        <v>EUR m</v>
      </c>
      <c r="L99" s="5" t="s">
        <v>49</v>
      </c>
      <c r="M99" s="5" t="s">
        <v>50</v>
      </c>
      <c r="N99" s="7" t="s">
        <v>51</v>
      </c>
      <c r="O99" s="7" t="s">
        <v>52</v>
      </c>
      <c r="P99" s="7" t="s">
        <v>283</v>
      </c>
      <c r="Q99" s="5" t="str">
        <f aca="false">B99&amp;"|"&amp;D99</f>
        <v>X05|H1_2025</v>
      </c>
      <c r="R99" s="5" t="s">
        <v>284</v>
      </c>
      <c r="S99" s="5" t="s">
        <v>54</v>
      </c>
    </row>
    <row r="100" customFormat="false" ht="34.5" hidden="false" customHeight="true" outlineLevel="0" collapsed="false">
      <c r="A100" s="5" t="s">
        <v>285</v>
      </c>
      <c r="B100" s="5" t="s">
        <v>263</v>
      </c>
      <c r="C100" s="5" t="s">
        <v>264</v>
      </c>
      <c r="D100" s="5" t="s">
        <v>75</v>
      </c>
      <c r="E100" s="5" t="s">
        <v>256</v>
      </c>
      <c r="F100" s="5" t="s">
        <v>286</v>
      </c>
      <c r="G100" s="5" t="s">
        <v>287</v>
      </c>
      <c r="H100" s="5" t="s">
        <v>48</v>
      </c>
      <c r="I100" s="6" t="n">
        <v>1195</v>
      </c>
      <c r="J100" s="5" t="n">
        <f aca="false">IF(I100="","",IF(H100="EUR bn",I100*1000,I100))</f>
        <v>1195</v>
      </c>
      <c r="K100" s="5" t="str">
        <f aca="false">IF(H100="EUR bn","EUR m",H100)</f>
        <v>EUR m</v>
      </c>
      <c r="L100" s="5" t="s">
        <v>49</v>
      </c>
      <c r="M100" s="5" t="s">
        <v>50</v>
      </c>
      <c r="N100" s="7" t="s">
        <v>51</v>
      </c>
      <c r="O100" s="7" t="s">
        <v>52</v>
      </c>
      <c r="P100" s="7" t="s">
        <v>288</v>
      </c>
      <c r="Q100" s="5" t="str">
        <f aca="false">B100&amp;"|"&amp;D100</f>
        <v>X05|FY_2025</v>
      </c>
      <c r="R100" s="5" t="s">
        <v>289</v>
      </c>
      <c r="S100" s="5" t="s">
        <v>54</v>
      </c>
    </row>
    <row r="101" customFormat="false" ht="45.75" hidden="false" customHeight="true" outlineLevel="0" collapsed="false">
      <c r="A101" s="5" t="s">
        <v>290</v>
      </c>
      <c r="B101" s="5" t="s">
        <v>263</v>
      </c>
      <c r="C101" s="5" t="s">
        <v>264</v>
      </c>
      <c r="D101" s="5" t="s">
        <v>79</v>
      </c>
      <c r="E101" s="5" t="s">
        <v>80</v>
      </c>
      <c r="F101" s="5" t="s">
        <v>291</v>
      </c>
      <c r="G101" s="5"/>
      <c r="H101" s="5" t="s">
        <v>48</v>
      </c>
      <c r="I101" s="6" t="n">
        <v>61</v>
      </c>
      <c r="J101" s="5" t="n">
        <f aca="false">IF(I101="","",IF(H101="EUR bn",I101*1000,I101))</f>
        <v>61</v>
      </c>
      <c r="K101" s="5" t="str">
        <f aca="false">IF(H101="EUR bn","EUR m",H101)</f>
        <v>EUR m</v>
      </c>
      <c r="L101" s="5" t="s">
        <v>222</v>
      </c>
      <c r="M101" s="5" t="s">
        <v>50</v>
      </c>
      <c r="N101" s="7" t="s">
        <v>51</v>
      </c>
      <c r="O101" s="7" t="s">
        <v>160</v>
      </c>
      <c r="P101" s="7" t="s">
        <v>292</v>
      </c>
      <c r="Q101" s="5" t="str">
        <f aca="false">B101&amp;"|"&amp;D101</f>
        <v>X05|H1_2026</v>
      </c>
      <c r="R101" s="5" t="s">
        <v>293</v>
      </c>
      <c r="S101" s="5" t="s">
        <v>294</v>
      </c>
    </row>
    <row r="102" customFormat="false" ht="23.25" hidden="false" customHeight="true" outlineLevel="0" collapsed="false">
      <c r="A102" s="5" t="s">
        <v>295</v>
      </c>
      <c r="B102" s="5" t="s">
        <v>296</v>
      </c>
      <c r="C102" s="5" t="s">
        <v>297</v>
      </c>
      <c r="D102" s="5" t="s">
        <v>44</v>
      </c>
      <c r="E102" s="5" t="s">
        <v>45</v>
      </c>
      <c r="F102" s="5" t="s">
        <v>274</v>
      </c>
      <c r="G102" s="5"/>
      <c r="H102" s="5" t="s">
        <v>48</v>
      </c>
      <c r="I102" s="6" t="n">
        <v>1652</v>
      </c>
      <c r="J102" s="5" t="n">
        <f aca="false">IF(I102="","",IF(H102="EUR bn",I102*1000,I102))</f>
        <v>1652</v>
      </c>
      <c r="K102" s="5" t="str">
        <f aca="false">IF(H102="EUR bn","EUR m",H102)</f>
        <v>EUR m</v>
      </c>
      <c r="L102" s="5" t="s">
        <v>49</v>
      </c>
      <c r="M102" s="5" t="s">
        <v>50</v>
      </c>
      <c r="N102" s="7" t="s">
        <v>51</v>
      </c>
      <c r="O102" s="7" t="s">
        <v>52</v>
      </c>
      <c r="P102" s="7" t="s">
        <v>53</v>
      </c>
      <c r="Q102" s="5" t="str">
        <f aca="false">B102&amp;"|"&amp;D102</f>
        <v>F01|H1_2023</v>
      </c>
      <c r="R102" s="5"/>
      <c r="S102" s="5" t="s">
        <v>54</v>
      </c>
    </row>
    <row r="103" customFormat="false" ht="23.25" hidden="false" customHeight="true" outlineLevel="0" collapsed="false">
      <c r="A103" s="5" t="s">
        <v>298</v>
      </c>
      <c r="B103" s="5" t="s">
        <v>296</v>
      </c>
      <c r="C103" s="5" t="s">
        <v>297</v>
      </c>
      <c r="D103" s="5" t="s">
        <v>56</v>
      </c>
      <c r="E103" s="5" t="s">
        <v>57</v>
      </c>
      <c r="F103" s="5" t="s">
        <v>299</v>
      </c>
      <c r="G103" s="5"/>
      <c r="H103" s="5" t="s">
        <v>48</v>
      </c>
      <c r="I103" s="6" t="n">
        <v>3444</v>
      </c>
      <c r="J103" s="5" t="n">
        <f aca="false">IF(I103="","",IF(H103="EUR bn",I103*1000,I103))</f>
        <v>3444</v>
      </c>
      <c r="K103" s="5" t="str">
        <f aca="false">IF(H103="EUR bn","EUR m",H103)</f>
        <v>EUR m</v>
      </c>
      <c r="L103" s="5" t="s">
        <v>49</v>
      </c>
      <c r="M103" s="5" t="s">
        <v>50</v>
      </c>
      <c r="N103" s="7" t="s">
        <v>51</v>
      </c>
      <c r="O103" s="7" t="s">
        <v>52</v>
      </c>
      <c r="P103" s="7" t="s">
        <v>53</v>
      </c>
      <c r="Q103" s="5" t="str">
        <f aca="false">B103&amp;"|"&amp;D103</f>
        <v>F01|FY_2023</v>
      </c>
      <c r="R103" s="5"/>
      <c r="S103" s="5" t="s">
        <v>54</v>
      </c>
    </row>
    <row r="104" customFormat="false" ht="23.25" hidden="false" customHeight="true" outlineLevel="0" collapsed="false">
      <c r="A104" s="5" t="s">
        <v>300</v>
      </c>
      <c r="B104" s="5" t="s">
        <v>296</v>
      </c>
      <c r="C104" s="5" t="s">
        <v>297</v>
      </c>
      <c r="D104" s="5" t="s">
        <v>61</v>
      </c>
      <c r="E104" s="5" t="s">
        <v>62</v>
      </c>
      <c r="F104" s="5" t="s">
        <v>274</v>
      </c>
      <c r="G104" s="5"/>
      <c r="H104" s="5" t="s">
        <v>48</v>
      </c>
      <c r="I104" s="6" t="n">
        <v>1894</v>
      </c>
      <c r="J104" s="5" t="n">
        <f aca="false">IF(I104="","",IF(H104="EUR bn",I104*1000,I104))</f>
        <v>1894</v>
      </c>
      <c r="K104" s="5" t="str">
        <f aca="false">IF(H104="EUR bn","EUR m",H104)</f>
        <v>EUR m</v>
      </c>
      <c r="L104" s="5" t="s">
        <v>49</v>
      </c>
      <c r="M104" s="5" t="s">
        <v>50</v>
      </c>
      <c r="N104" s="7" t="s">
        <v>51</v>
      </c>
      <c r="O104" s="7" t="s">
        <v>52</v>
      </c>
      <c r="P104" s="7" t="s">
        <v>53</v>
      </c>
      <c r="Q104" s="5" t="str">
        <f aca="false">B104&amp;"|"&amp;D104</f>
        <v>F01|H1_2024</v>
      </c>
      <c r="R104" s="5"/>
      <c r="S104" s="5" t="s">
        <v>54</v>
      </c>
    </row>
    <row r="105" customFormat="false" ht="23.25" hidden="false" customHeight="true" outlineLevel="0" collapsed="false">
      <c r="A105" s="5" t="s">
        <v>301</v>
      </c>
      <c r="B105" s="5" t="s">
        <v>296</v>
      </c>
      <c r="C105" s="5" t="s">
        <v>297</v>
      </c>
      <c r="D105" s="5" t="s">
        <v>66</v>
      </c>
      <c r="E105" s="5" t="s">
        <v>76</v>
      </c>
      <c r="F105" s="5" t="s">
        <v>302</v>
      </c>
      <c r="G105" s="5"/>
      <c r="H105" s="5" t="s">
        <v>48</v>
      </c>
      <c r="I105" s="6" t="n">
        <v>3910</v>
      </c>
      <c r="J105" s="5" t="n">
        <f aca="false">IF(I105="","",IF(H105="EUR bn",I105*1000,I105))</f>
        <v>3910</v>
      </c>
      <c r="K105" s="5" t="str">
        <f aca="false">IF(H105="EUR bn","EUR m",H105)</f>
        <v>EUR m</v>
      </c>
      <c r="L105" s="5" t="s">
        <v>49</v>
      </c>
      <c r="M105" s="5" t="s">
        <v>50</v>
      </c>
      <c r="N105" s="7" t="s">
        <v>51</v>
      </c>
      <c r="O105" s="7" t="s">
        <v>52</v>
      </c>
      <c r="P105" s="7" t="s">
        <v>53</v>
      </c>
      <c r="Q105" s="5" t="str">
        <f aca="false">B105&amp;"|"&amp;D105</f>
        <v>F01|FY_2024</v>
      </c>
      <c r="R105" s="5"/>
      <c r="S105" s="5" t="s">
        <v>54</v>
      </c>
    </row>
    <row r="106" customFormat="false" ht="23.25" hidden="false" customHeight="true" outlineLevel="0" collapsed="false">
      <c r="A106" s="5" t="s">
        <v>303</v>
      </c>
      <c r="B106" s="5" t="s">
        <v>296</v>
      </c>
      <c r="C106" s="5" t="s">
        <v>297</v>
      </c>
      <c r="D106" s="5" t="s">
        <v>70</v>
      </c>
      <c r="E106" s="5" t="s">
        <v>71</v>
      </c>
      <c r="F106" s="5" t="s">
        <v>304</v>
      </c>
      <c r="G106" s="5"/>
      <c r="H106" s="5" t="s">
        <v>48</v>
      </c>
      <c r="I106" s="6" t="n">
        <v>2152</v>
      </c>
      <c r="J106" s="5" t="n">
        <f aca="false">IF(I106="","",IF(H106="EUR bn",I106*1000,I106))</f>
        <v>2152</v>
      </c>
      <c r="K106" s="5" t="str">
        <f aca="false">IF(H106="EUR bn","EUR m",H106)</f>
        <v>EUR m</v>
      </c>
      <c r="L106" s="5" t="s">
        <v>49</v>
      </c>
      <c r="M106" s="5" t="s">
        <v>50</v>
      </c>
      <c r="N106" s="7" t="s">
        <v>51</v>
      </c>
      <c r="O106" s="7" t="s">
        <v>52</v>
      </c>
      <c r="P106" s="7" t="s">
        <v>53</v>
      </c>
      <c r="Q106" s="5" t="str">
        <f aca="false">B106&amp;"|"&amp;D106</f>
        <v>F01|H1_2025</v>
      </c>
      <c r="R106" s="5"/>
      <c r="S106" s="5" t="s">
        <v>54</v>
      </c>
    </row>
    <row r="107" customFormat="false" ht="23.25" hidden="false" customHeight="true" outlineLevel="0" collapsed="false">
      <c r="A107" s="5" t="s">
        <v>305</v>
      </c>
      <c r="B107" s="5" t="s">
        <v>296</v>
      </c>
      <c r="C107" s="5" t="s">
        <v>297</v>
      </c>
      <c r="D107" s="5" t="s">
        <v>75</v>
      </c>
      <c r="E107" s="5" t="s">
        <v>76</v>
      </c>
      <c r="F107" s="5" t="s">
        <v>306</v>
      </c>
      <c r="G107" s="5"/>
      <c r="H107" s="5" t="s">
        <v>48</v>
      </c>
      <c r="I107" s="6" t="n">
        <v>4384</v>
      </c>
      <c r="J107" s="5" t="n">
        <f aca="false">IF(I107="","",IF(H107="EUR bn",I107*1000,I107))</f>
        <v>4384</v>
      </c>
      <c r="K107" s="5" t="str">
        <f aca="false">IF(H107="EUR bn","EUR m",H107)</f>
        <v>EUR m</v>
      </c>
      <c r="L107" s="5" t="s">
        <v>49</v>
      </c>
      <c r="M107" s="5" t="s">
        <v>50</v>
      </c>
      <c r="N107" s="7" t="s">
        <v>51</v>
      </c>
      <c r="O107" s="7" t="s">
        <v>52</v>
      </c>
      <c r="P107" s="7" t="s">
        <v>53</v>
      </c>
      <c r="Q107" s="5" t="str">
        <f aca="false">B107&amp;"|"&amp;D107</f>
        <v>F01|FY_2025</v>
      </c>
      <c r="R107" s="5"/>
      <c r="S107" s="5" t="s">
        <v>54</v>
      </c>
    </row>
    <row r="108" customFormat="false" ht="23.25" hidden="false" customHeight="true" outlineLevel="0" collapsed="false">
      <c r="A108" s="5" t="s">
        <v>307</v>
      </c>
      <c r="B108" s="5" t="s">
        <v>296</v>
      </c>
      <c r="C108" s="5" t="s">
        <v>297</v>
      </c>
      <c r="D108" s="5" t="s">
        <v>79</v>
      </c>
      <c r="E108" s="5" t="s">
        <v>80</v>
      </c>
      <c r="F108" s="5" t="s">
        <v>308</v>
      </c>
      <c r="G108" s="5"/>
      <c r="H108" s="5" t="s">
        <v>48</v>
      </c>
      <c r="I108" s="6" t="n">
        <v>2206</v>
      </c>
      <c r="J108" s="5" t="n">
        <f aca="false">IF(I108="","",IF(H108="EUR bn",I108*1000,I108))</f>
        <v>2206</v>
      </c>
      <c r="K108" s="5" t="str">
        <f aca="false">IF(H108="EUR bn","EUR m",H108)</f>
        <v>EUR m</v>
      </c>
      <c r="L108" s="5" t="s">
        <v>49</v>
      </c>
      <c r="M108" s="5" t="s">
        <v>50</v>
      </c>
      <c r="N108" s="7" t="s">
        <v>51</v>
      </c>
      <c r="O108" s="7" t="s">
        <v>52</v>
      </c>
      <c r="P108" s="7" t="s">
        <v>53</v>
      </c>
      <c r="Q108" s="5" t="str">
        <f aca="false">B108&amp;"|"&amp;D108</f>
        <v>F01|H1_2026</v>
      </c>
      <c r="R108" s="5"/>
      <c r="S108" s="5" t="s">
        <v>54</v>
      </c>
    </row>
    <row r="109" customFormat="false" ht="23.25" hidden="false" customHeight="true" outlineLevel="0" collapsed="false">
      <c r="A109" s="5" t="s">
        <v>309</v>
      </c>
      <c r="B109" s="5" t="s">
        <v>310</v>
      </c>
      <c r="C109" s="5" t="s">
        <v>311</v>
      </c>
      <c r="D109" s="5" t="s">
        <v>44</v>
      </c>
      <c r="E109" s="5" t="s">
        <v>45</v>
      </c>
      <c r="F109" s="5" t="s">
        <v>274</v>
      </c>
      <c r="G109" s="5" t="s">
        <v>312</v>
      </c>
      <c r="H109" s="5" t="s">
        <v>48</v>
      </c>
      <c r="I109" s="6" t="n">
        <v>174</v>
      </c>
      <c r="J109" s="5" t="n">
        <f aca="false">IF(I109="","",IF(H109="EUR bn",I109*1000,I109))</f>
        <v>174</v>
      </c>
      <c r="K109" s="5" t="str">
        <f aca="false">IF(H109="EUR bn","EUR m",H109)</f>
        <v>EUR m</v>
      </c>
      <c r="L109" s="5" t="s">
        <v>49</v>
      </c>
      <c r="M109" s="5" t="s">
        <v>50</v>
      </c>
      <c r="N109" s="7" t="s">
        <v>51</v>
      </c>
      <c r="O109" s="7" t="s">
        <v>52</v>
      </c>
      <c r="P109" s="7" t="s">
        <v>53</v>
      </c>
      <c r="Q109" s="5" t="str">
        <f aca="false">B109&amp;"|"&amp;D109</f>
        <v>F02|H1_2023</v>
      </c>
      <c r="R109" s="5"/>
      <c r="S109" s="5" t="s">
        <v>54</v>
      </c>
    </row>
    <row r="110" customFormat="false" ht="23.25" hidden="false" customHeight="true" outlineLevel="0" collapsed="false">
      <c r="A110" s="5" t="s">
        <v>313</v>
      </c>
      <c r="B110" s="5" t="s">
        <v>310</v>
      </c>
      <c r="C110" s="5" t="s">
        <v>311</v>
      </c>
      <c r="D110" s="5" t="s">
        <v>56</v>
      </c>
      <c r="E110" s="5" t="s">
        <v>57</v>
      </c>
      <c r="F110" s="5" t="s">
        <v>299</v>
      </c>
      <c r="G110" s="5" t="s">
        <v>312</v>
      </c>
      <c r="H110" s="5" t="s">
        <v>48</v>
      </c>
      <c r="I110" s="6" t="n">
        <v>302</v>
      </c>
      <c r="J110" s="5" t="n">
        <f aca="false">IF(I110="","",IF(H110="EUR bn",I110*1000,I110))</f>
        <v>302</v>
      </c>
      <c r="K110" s="5" t="str">
        <f aca="false">IF(H110="EUR bn","EUR m",H110)</f>
        <v>EUR m</v>
      </c>
      <c r="L110" s="5" t="s">
        <v>49</v>
      </c>
      <c r="M110" s="5" t="s">
        <v>50</v>
      </c>
      <c r="N110" s="7" t="s">
        <v>51</v>
      </c>
      <c r="O110" s="7" t="s">
        <v>52</v>
      </c>
      <c r="P110" s="7" t="s">
        <v>53</v>
      </c>
      <c r="Q110" s="5" t="str">
        <f aca="false">B110&amp;"|"&amp;D110</f>
        <v>F02|FY_2023</v>
      </c>
      <c r="R110" s="5"/>
      <c r="S110" s="5" t="s">
        <v>54</v>
      </c>
    </row>
    <row r="111" customFormat="false" ht="23.25" hidden="false" customHeight="true" outlineLevel="0" collapsed="false">
      <c r="A111" s="5" t="s">
        <v>314</v>
      </c>
      <c r="B111" s="5" t="s">
        <v>310</v>
      </c>
      <c r="C111" s="5" t="s">
        <v>311</v>
      </c>
      <c r="D111" s="5" t="s">
        <v>61</v>
      </c>
      <c r="E111" s="5" t="s">
        <v>62</v>
      </c>
      <c r="F111" s="5" t="s">
        <v>274</v>
      </c>
      <c r="G111" s="5" t="s">
        <v>312</v>
      </c>
      <c r="H111" s="5" t="s">
        <v>48</v>
      </c>
      <c r="I111" s="6" t="n">
        <v>129</v>
      </c>
      <c r="J111" s="5" t="n">
        <f aca="false">IF(I111="","",IF(H111="EUR bn",I111*1000,I111))</f>
        <v>129</v>
      </c>
      <c r="K111" s="5" t="str">
        <f aca="false">IF(H111="EUR bn","EUR m",H111)</f>
        <v>EUR m</v>
      </c>
      <c r="L111" s="5" t="s">
        <v>49</v>
      </c>
      <c r="M111" s="5" t="s">
        <v>50</v>
      </c>
      <c r="N111" s="7" t="s">
        <v>51</v>
      </c>
      <c r="O111" s="7" t="s">
        <v>52</v>
      </c>
      <c r="P111" s="7" t="s">
        <v>53</v>
      </c>
      <c r="Q111" s="5" t="str">
        <f aca="false">B111&amp;"|"&amp;D111</f>
        <v>F02|H1_2024</v>
      </c>
      <c r="R111" s="5"/>
      <c r="S111" s="5" t="s">
        <v>54</v>
      </c>
    </row>
    <row r="112" customFormat="false" ht="23.25" hidden="false" customHeight="true" outlineLevel="0" collapsed="false">
      <c r="A112" s="5" t="s">
        <v>315</v>
      </c>
      <c r="B112" s="5" t="s">
        <v>310</v>
      </c>
      <c r="C112" s="5" t="s">
        <v>311</v>
      </c>
      <c r="D112" s="5" t="s">
        <v>66</v>
      </c>
      <c r="E112" s="5" t="s">
        <v>76</v>
      </c>
      <c r="F112" s="5" t="s">
        <v>302</v>
      </c>
      <c r="G112" s="5" t="s">
        <v>312</v>
      </c>
      <c r="H112" s="5" t="s">
        <v>48</v>
      </c>
      <c r="I112" s="6" t="n">
        <v>278</v>
      </c>
      <c r="J112" s="5" t="n">
        <f aca="false">IF(I112="","",IF(H112="EUR bn",I112*1000,I112))</f>
        <v>278</v>
      </c>
      <c r="K112" s="5" t="str">
        <f aca="false">IF(H112="EUR bn","EUR m",H112)</f>
        <v>EUR m</v>
      </c>
      <c r="L112" s="5" t="s">
        <v>49</v>
      </c>
      <c r="M112" s="5" t="s">
        <v>50</v>
      </c>
      <c r="N112" s="7" t="s">
        <v>51</v>
      </c>
      <c r="O112" s="7" t="s">
        <v>52</v>
      </c>
      <c r="P112" s="7" t="s">
        <v>53</v>
      </c>
      <c r="Q112" s="5" t="str">
        <f aca="false">B112&amp;"|"&amp;D112</f>
        <v>F02|FY_2024</v>
      </c>
      <c r="R112" s="5"/>
      <c r="S112" s="5" t="s">
        <v>54</v>
      </c>
    </row>
    <row r="113" customFormat="false" ht="23.25" hidden="false" customHeight="true" outlineLevel="0" collapsed="false">
      <c r="A113" s="5" t="s">
        <v>316</v>
      </c>
      <c r="B113" s="5" t="s">
        <v>310</v>
      </c>
      <c r="C113" s="5" t="s">
        <v>311</v>
      </c>
      <c r="D113" s="5" t="s">
        <v>70</v>
      </c>
      <c r="E113" s="5" t="s">
        <v>71</v>
      </c>
      <c r="F113" s="5" t="s">
        <v>304</v>
      </c>
      <c r="G113" s="5" t="s">
        <v>312</v>
      </c>
      <c r="H113" s="5" t="s">
        <v>48</v>
      </c>
      <c r="I113" s="6" t="n">
        <v>145</v>
      </c>
      <c r="J113" s="5" t="n">
        <f aca="false">IF(I113="","",IF(H113="EUR bn",I113*1000,I113))</f>
        <v>145</v>
      </c>
      <c r="K113" s="5" t="str">
        <f aca="false">IF(H113="EUR bn","EUR m",H113)</f>
        <v>EUR m</v>
      </c>
      <c r="L113" s="5" t="s">
        <v>49</v>
      </c>
      <c r="M113" s="5" t="s">
        <v>50</v>
      </c>
      <c r="N113" s="7" t="s">
        <v>51</v>
      </c>
      <c r="O113" s="7" t="s">
        <v>52</v>
      </c>
      <c r="P113" s="7" t="s">
        <v>53</v>
      </c>
      <c r="Q113" s="5" t="str">
        <f aca="false">B113&amp;"|"&amp;D113</f>
        <v>F02|H1_2025</v>
      </c>
      <c r="R113" s="5"/>
      <c r="S113" s="5" t="s">
        <v>54</v>
      </c>
    </row>
    <row r="114" customFormat="false" ht="23.25" hidden="false" customHeight="true" outlineLevel="0" collapsed="false">
      <c r="A114" s="5" t="s">
        <v>317</v>
      </c>
      <c r="B114" s="5" t="s">
        <v>310</v>
      </c>
      <c r="C114" s="5" t="s">
        <v>311</v>
      </c>
      <c r="D114" s="5" t="s">
        <v>75</v>
      </c>
      <c r="E114" s="5" t="s">
        <v>76</v>
      </c>
      <c r="F114" s="5" t="s">
        <v>306</v>
      </c>
      <c r="G114" s="5" t="s">
        <v>312</v>
      </c>
      <c r="H114" s="5" t="s">
        <v>48</v>
      </c>
      <c r="I114" s="6" t="n">
        <v>259</v>
      </c>
      <c r="J114" s="5" t="n">
        <f aca="false">IF(I114="","",IF(H114="EUR bn",I114*1000,I114))</f>
        <v>259</v>
      </c>
      <c r="K114" s="5" t="str">
        <f aca="false">IF(H114="EUR bn","EUR m",H114)</f>
        <v>EUR m</v>
      </c>
      <c r="L114" s="5" t="s">
        <v>49</v>
      </c>
      <c r="M114" s="5" t="s">
        <v>50</v>
      </c>
      <c r="N114" s="7" t="s">
        <v>51</v>
      </c>
      <c r="O114" s="7" t="s">
        <v>52</v>
      </c>
      <c r="P114" s="7" t="s">
        <v>53</v>
      </c>
      <c r="Q114" s="5" t="str">
        <f aca="false">B114&amp;"|"&amp;D114</f>
        <v>F02|FY_2025</v>
      </c>
      <c r="R114" s="5"/>
      <c r="S114" s="5" t="s">
        <v>54</v>
      </c>
    </row>
    <row r="115" customFormat="false" ht="23.25" hidden="false" customHeight="true" outlineLevel="0" collapsed="false">
      <c r="A115" s="5" t="s">
        <v>318</v>
      </c>
      <c r="B115" s="5" t="s">
        <v>310</v>
      </c>
      <c r="C115" s="5" t="s">
        <v>311</v>
      </c>
      <c r="D115" s="5" t="s">
        <v>79</v>
      </c>
      <c r="E115" s="5" t="s">
        <v>80</v>
      </c>
      <c r="F115" s="5" t="s">
        <v>308</v>
      </c>
      <c r="G115" s="5" t="s">
        <v>312</v>
      </c>
      <c r="H115" s="5" t="s">
        <v>48</v>
      </c>
      <c r="I115" s="6" t="n">
        <v>151</v>
      </c>
      <c r="J115" s="5" t="n">
        <f aca="false">IF(I115="","",IF(H115="EUR bn",I115*1000,I115))</f>
        <v>151</v>
      </c>
      <c r="K115" s="5" t="str">
        <f aca="false">IF(H115="EUR bn","EUR m",H115)</f>
        <v>EUR m</v>
      </c>
      <c r="L115" s="5" t="s">
        <v>49</v>
      </c>
      <c r="M115" s="5" t="s">
        <v>50</v>
      </c>
      <c r="N115" s="7" t="s">
        <v>51</v>
      </c>
      <c r="O115" s="7" t="s">
        <v>52</v>
      </c>
      <c r="P115" s="7" t="s">
        <v>53</v>
      </c>
      <c r="Q115" s="5" t="str">
        <f aca="false">B115&amp;"|"&amp;D115</f>
        <v>F02|H1_2026</v>
      </c>
      <c r="R115" s="5"/>
      <c r="S115" s="5" t="s">
        <v>54</v>
      </c>
    </row>
    <row r="116" customFormat="false" ht="34.5" hidden="false" customHeight="true" outlineLevel="0" collapsed="false">
      <c r="A116" s="5" t="s">
        <v>319</v>
      </c>
      <c r="B116" s="5" t="s">
        <v>320</v>
      </c>
      <c r="C116" s="5" t="s">
        <v>321</v>
      </c>
      <c r="D116" s="5" t="s">
        <v>56</v>
      </c>
      <c r="E116" s="5" t="s">
        <v>322</v>
      </c>
      <c r="F116" s="5" t="s">
        <v>323</v>
      </c>
      <c r="G116" s="5"/>
      <c r="H116" s="5" t="s">
        <v>216</v>
      </c>
      <c r="I116" s="6" t="n">
        <v>1.3</v>
      </c>
      <c r="J116" s="5" t="n">
        <f aca="false">IF(I116="","",IF(H116="EUR bn",I116*1000,I116))</f>
        <v>1300</v>
      </c>
      <c r="K116" s="5" t="str">
        <f aca="false">IF(H116="EUR bn","EUR m",H116)</f>
        <v>EUR m</v>
      </c>
      <c r="L116" s="5" t="s">
        <v>49</v>
      </c>
      <c r="M116" s="5" t="s">
        <v>217</v>
      </c>
      <c r="N116" s="7" t="s">
        <v>51</v>
      </c>
      <c r="O116" s="7" t="s">
        <v>52</v>
      </c>
      <c r="P116" s="7" t="s">
        <v>324</v>
      </c>
      <c r="Q116" s="5" t="str">
        <f aca="false">B116&amp;"|"&amp;D116</f>
        <v>B01|FY_2023</v>
      </c>
      <c r="R116" s="5" t="s">
        <v>325</v>
      </c>
      <c r="S116" s="5" t="s">
        <v>326</v>
      </c>
    </row>
    <row r="117" customFormat="false" ht="34.5" hidden="false" customHeight="true" outlineLevel="0" collapsed="false">
      <c r="A117" s="5" t="s">
        <v>327</v>
      </c>
      <c r="B117" s="5" t="s">
        <v>320</v>
      </c>
      <c r="C117" s="5" t="s">
        <v>321</v>
      </c>
      <c r="D117" s="5" t="s">
        <v>61</v>
      </c>
      <c r="E117" s="5" t="s">
        <v>158</v>
      </c>
      <c r="F117" s="5" t="s">
        <v>328</v>
      </c>
      <c r="G117" s="5"/>
      <c r="H117" s="5" t="s">
        <v>216</v>
      </c>
      <c r="I117" s="6" t="n">
        <v>-0.46</v>
      </c>
      <c r="J117" s="5" t="n">
        <f aca="false">IF(I117="","",IF(H117="EUR bn",I117*1000,I117))</f>
        <v>-460</v>
      </c>
      <c r="K117" s="5" t="str">
        <f aca="false">IF(H117="EUR bn","EUR m",H117)</f>
        <v>EUR m</v>
      </c>
      <c r="L117" s="5" t="s">
        <v>49</v>
      </c>
      <c r="M117" s="5" t="s">
        <v>329</v>
      </c>
      <c r="N117" s="7" t="s">
        <v>51</v>
      </c>
      <c r="O117" s="7" t="s">
        <v>52</v>
      </c>
      <c r="P117" s="7" t="s">
        <v>324</v>
      </c>
      <c r="Q117" s="5" t="str">
        <f aca="false">B117&amp;"|"&amp;D117</f>
        <v>B01|H1_2024</v>
      </c>
      <c r="R117" s="5" t="s">
        <v>325</v>
      </c>
      <c r="S117" s="5" t="s">
        <v>326</v>
      </c>
    </row>
    <row r="118" customFormat="false" ht="34.5" hidden="false" customHeight="true" outlineLevel="0" collapsed="false">
      <c r="A118" s="5" t="s">
        <v>330</v>
      </c>
      <c r="B118" s="5" t="s">
        <v>320</v>
      </c>
      <c r="C118" s="5" t="s">
        <v>321</v>
      </c>
      <c r="D118" s="5" t="s">
        <v>66</v>
      </c>
      <c r="E118" s="5" t="s">
        <v>331</v>
      </c>
      <c r="F118" s="5" t="s">
        <v>332</v>
      </c>
      <c r="G118" s="5"/>
      <c r="H118" s="5" t="s">
        <v>216</v>
      </c>
      <c r="I118" s="6" t="n">
        <v>-1</v>
      </c>
      <c r="J118" s="5" t="n">
        <f aca="false">IF(I118="","",IF(H118="EUR bn",I118*1000,I118))</f>
        <v>-1000</v>
      </c>
      <c r="K118" s="5" t="str">
        <f aca="false">IF(H118="EUR bn","EUR m",H118)</f>
        <v>EUR m</v>
      </c>
      <c r="L118" s="5" t="s">
        <v>49</v>
      </c>
      <c r="M118" s="5" t="s">
        <v>217</v>
      </c>
      <c r="N118" s="7" t="s">
        <v>51</v>
      </c>
      <c r="O118" s="7" t="s">
        <v>52</v>
      </c>
      <c r="P118" s="7" t="s">
        <v>324</v>
      </c>
      <c r="Q118" s="5" t="str">
        <f aca="false">B118&amp;"|"&amp;D118</f>
        <v>B01|FY_2024</v>
      </c>
      <c r="R118" s="5" t="s">
        <v>325</v>
      </c>
      <c r="S118" s="5" t="s">
        <v>326</v>
      </c>
    </row>
    <row r="119" customFormat="false" ht="34.5" hidden="false" customHeight="true" outlineLevel="0" collapsed="false">
      <c r="A119" s="5" t="s">
        <v>333</v>
      </c>
      <c r="B119" s="5" t="s">
        <v>320</v>
      </c>
      <c r="C119" s="5" t="s">
        <v>321</v>
      </c>
      <c r="D119" s="5" t="s">
        <v>70</v>
      </c>
      <c r="E119" s="5" t="s">
        <v>334</v>
      </c>
      <c r="F119" s="5" t="s">
        <v>335</v>
      </c>
      <c r="G119" s="5"/>
      <c r="H119" s="5" t="s">
        <v>216</v>
      </c>
      <c r="I119" s="6" t="n">
        <v>-1.62</v>
      </c>
      <c r="J119" s="5" t="n">
        <f aca="false">IF(I119="","",IF(H119="EUR bn",I119*1000,I119))</f>
        <v>-1620</v>
      </c>
      <c r="K119" s="5" t="str">
        <f aca="false">IF(H119="EUR bn","EUR m",H119)</f>
        <v>EUR m</v>
      </c>
      <c r="L119" s="5" t="s">
        <v>49</v>
      </c>
      <c r="M119" s="5" t="s">
        <v>329</v>
      </c>
      <c r="N119" s="7" t="s">
        <v>51</v>
      </c>
      <c r="O119" s="7" t="s">
        <v>52</v>
      </c>
      <c r="P119" s="7" t="s">
        <v>324</v>
      </c>
      <c r="Q119" s="5" t="str">
        <f aca="false">B119&amp;"|"&amp;D119</f>
        <v>B01|H1_2025</v>
      </c>
      <c r="R119" s="5" t="s">
        <v>325</v>
      </c>
      <c r="S119" s="5" t="s">
        <v>326</v>
      </c>
    </row>
    <row r="120" customFormat="false" ht="45.75" hidden="false" customHeight="true" outlineLevel="0" collapsed="false">
      <c r="A120" s="5" t="s">
        <v>336</v>
      </c>
      <c r="B120" s="5" t="s">
        <v>320</v>
      </c>
      <c r="C120" s="5" t="s">
        <v>321</v>
      </c>
      <c r="D120" s="5" t="s">
        <v>75</v>
      </c>
      <c r="E120" s="5" t="s">
        <v>122</v>
      </c>
      <c r="F120" s="5" t="s">
        <v>221</v>
      </c>
      <c r="G120" s="5"/>
      <c r="H120" s="5" t="s">
        <v>216</v>
      </c>
      <c r="I120" s="6" t="n">
        <v>-4.17</v>
      </c>
      <c r="J120" s="5" t="n">
        <f aca="false">IF(I120="","",IF(H120="EUR bn",I120*1000,I120))</f>
        <v>-4170</v>
      </c>
      <c r="K120" s="5" t="str">
        <f aca="false">IF(H120="EUR bn","EUR m",H120)</f>
        <v>EUR m</v>
      </c>
      <c r="L120" s="5" t="s">
        <v>49</v>
      </c>
      <c r="M120" s="5" t="s">
        <v>329</v>
      </c>
      <c r="N120" s="7" t="s">
        <v>51</v>
      </c>
      <c r="O120" s="7" t="s">
        <v>52</v>
      </c>
      <c r="P120" s="7" t="s">
        <v>337</v>
      </c>
      <c r="Q120" s="5" t="str">
        <f aca="false">B120&amp;"|"&amp;D120</f>
        <v>B01|FY_2025</v>
      </c>
      <c r="R120" s="5" t="s">
        <v>325</v>
      </c>
      <c r="S120" s="5" t="s">
        <v>326</v>
      </c>
    </row>
    <row r="121" customFormat="false" ht="34.5" hidden="false" customHeight="true" outlineLevel="0" collapsed="false">
      <c r="A121" s="5" t="s">
        <v>338</v>
      </c>
      <c r="B121" s="5" t="s">
        <v>320</v>
      </c>
      <c r="C121" s="5" t="s">
        <v>321</v>
      </c>
      <c r="D121" s="5" t="s">
        <v>79</v>
      </c>
      <c r="E121" s="5" t="s">
        <v>126</v>
      </c>
      <c r="F121" s="5" t="s">
        <v>221</v>
      </c>
      <c r="G121" s="5"/>
      <c r="H121" s="5" t="s">
        <v>216</v>
      </c>
      <c r="I121" s="6" t="n">
        <v>0.15</v>
      </c>
      <c r="J121" s="5" t="n">
        <f aca="false">IF(I121="","",IF(H121="EUR bn",I121*1000,I121))</f>
        <v>150</v>
      </c>
      <c r="K121" s="5" t="str">
        <f aca="false">IF(H121="EUR bn","EUR m",H121)</f>
        <v>EUR m</v>
      </c>
      <c r="L121" s="5" t="s">
        <v>49</v>
      </c>
      <c r="M121" s="5" t="s">
        <v>329</v>
      </c>
      <c r="N121" s="7" t="s">
        <v>51</v>
      </c>
      <c r="O121" s="7" t="s">
        <v>52</v>
      </c>
      <c r="P121" s="7" t="s">
        <v>324</v>
      </c>
      <c r="Q121" s="5" t="str">
        <f aca="false">B121&amp;"|"&amp;D121</f>
        <v>B01|H1_2026</v>
      </c>
      <c r="R121" s="5" t="s">
        <v>325</v>
      </c>
      <c r="S121" s="5" t="s">
        <v>326</v>
      </c>
    </row>
    <row r="122" customFormat="false" ht="34.5" hidden="false" customHeight="true" outlineLevel="0" collapsed="false">
      <c r="A122" s="5" t="s">
        <v>339</v>
      </c>
      <c r="B122" s="5" t="s">
        <v>340</v>
      </c>
      <c r="C122" s="5" t="s">
        <v>341</v>
      </c>
      <c r="D122" s="5" t="s">
        <v>56</v>
      </c>
      <c r="E122" s="5" t="s">
        <v>322</v>
      </c>
      <c r="F122" s="5" t="s">
        <v>323</v>
      </c>
      <c r="G122" s="5"/>
      <c r="H122" s="5" t="s">
        <v>216</v>
      </c>
      <c r="I122" s="6" t="n">
        <v>-0.2</v>
      </c>
      <c r="J122" s="5" t="n">
        <f aca="false">IF(I122="","",IF(H122="EUR bn",I122*1000,I122))</f>
        <v>-200</v>
      </c>
      <c r="K122" s="5" t="str">
        <f aca="false">IF(H122="EUR bn","EUR m",H122)</f>
        <v>EUR m</v>
      </c>
      <c r="L122" s="5" t="s">
        <v>49</v>
      </c>
      <c r="M122" s="5" t="s">
        <v>217</v>
      </c>
      <c r="N122" s="7" t="s">
        <v>51</v>
      </c>
      <c r="O122" s="7" t="s">
        <v>52</v>
      </c>
      <c r="P122" s="7" t="s">
        <v>324</v>
      </c>
      <c r="Q122" s="5" t="str">
        <f aca="false">B122&amp;"|"&amp;D122</f>
        <v>B02|FY_2023</v>
      </c>
      <c r="R122" s="5" t="s">
        <v>325</v>
      </c>
      <c r="S122" s="5" t="s">
        <v>326</v>
      </c>
    </row>
    <row r="123" customFormat="false" ht="34.5" hidden="false" customHeight="true" outlineLevel="0" collapsed="false">
      <c r="A123" s="5" t="s">
        <v>342</v>
      </c>
      <c r="B123" s="5" t="s">
        <v>340</v>
      </c>
      <c r="C123" s="5" t="s">
        <v>341</v>
      </c>
      <c r="D123" s="5" t="s">
        <v>61</v>
      </c>
      <c r="E123" s="5" t="s">
        <v>158</v>
      </c>
      <c r="F123" s="5" t="s">
        <v>328</v>
      </c>
      <c r="G123" s="5"/>
      <c r="H123" s="5" t="s">
        <v>216</v>
      </c>
      <c r="I123" s="6" t="n">
        <v>-0.24</v>
      </c>
      <c r="J123" s="5" t="n">
        <f aca="false">IF(I123="","",IF(H123="EUR bn",I123*1000,I123))</f>
        <v>-240</v>
      </c>
      <c r="K123" s="5" t="str">
        <f aca="false">IF(H123="EUR bn","EUR m",H123)</f>
        <v>EUR m</v>
      </c>
      <c r="L123" s="5" t="s">
        <v>49</v>
      </c>
      <c r="M123" s="5" t="s">
        <v>329</v>
      </c>
      <c r="N123" s="7" t="s">
        <v>51</v>
      </c>
      <c r="O123" s="7" t="s">
        <v>52</v>
      </c>
      <c r="P123" s="7" t="s">
        <v>324</v>
      </c>
      <c r="Q123" s="5" t="str">
        <f aca="false">B123&amp;"|"&amp;D123</f>
        <v>B02|H1_2024</v>
      </c>
      <c r="R123" s="5" t="s">
        <v>325</v>
      </c>
      <c r="S123" s="5" t="s">
        <v>326</v>
      </c>
    </row>
    <row r="124" customFormat="false" ht="34.5" hidden="false" customHeight="true" outlineLevel="0" collapsed="false">
      <c r="A124" s="5" t="s">
        <v>343</v>
      </c>
      <c r="B124" s="5" t="s">
        <v>340</v>
      </c>
      <c r="C124" s="5" t="s">
        <v>341</v>
      </c>
      <c r="D124" s="5" t="s">
        <v>66</v>
      </c>
      <c r="E124" s="5" t="s">
        <v>331</v>
      </c>
      <c r="F124" s="5" t="s">
        <v>332</v>
      </c>
      <c r="G124" s="5"/>
      <c r="H124" s="5" t="s">
        <v>216</v>
      </c>
      <c r="I124" s="6" t="n">
        <v>-0.3</v>
      </c>
      <c r="J124" s="5" t="n">
        <f aca="false">IF(I124="","",IF(H124="EUR bn",I124*1000,I124))</f>
        <v>-300</v>
      </c>
      <c r="K124" s="5" t="str">
        <f aca="false">IF(H124="EUR bn","EUR m",H124)</f>
        <v>EUR m</v>
      </c>
      <c r="L124" s="5" t="s">
        <v>49</v>
      </c>
      <c r="M124" s="5" t="s">
        <v>217</v>
      </c>
      <c r="N124" s="7" t="s">
        <v>51</v>
      </c>
      <c r="O124" s="7" t="s">
        <v>52</v>
      </c>
      <c r="P124" s="7" t="s">
        <v>324</v>
      </c>
      <c r="Q124" s="5" t="str">
        <f aca="false">B124&amp;"|"&amp;D124</f>
        <v>B02|FY_2024</v>
      </c>
      <c r="R124" s="5" t="s">
        <v>325</v>
      </c>
      <c r="S124" s="5" t="s">
        <v>326</v>
      </c>
    </row>
    <row r="125" customFormat="false" ht="34.5" hidden="false" customHeight="true" outlineLevel="0" collapsed="false">
      <c r="A125" s="5" t="s">
        <v>344</v>
      </c>
      <c r="B125" s="5" t="s">
        <v>340</v>
      </c>
      <c r="C125" s="5" t="s">
        <v>341</v>
      </c>
      <c r="D125" s="5" t="s">
        <v>70</v>
      </c>
      <c r="E125" s="5" t="s">
        <v>334</v>
      </c>
      <c r="F125" s="5" t="s">
        <v>335</v>
      </c>
      <c r="G125" s="5"/>
      <c r="H125" s="5" t="s">
        <v>216</v>
      </c>
      <c r="I125" s="6" t="n">
        <v>-0.22</v>
      </c>
      <c r="J125" s="5" t="n">
        <f aca="false">IF(I125="","",IF(H125="EUR bn",I125*1000,I125))</f>
        <v>-220</v>
      </c>
      <c r="K125" s="5" t="str">
        <f aca="false">IF(H125="EUR bn","EUR m",H125)</f>
        <v>EUR m</v>
      </c>
      <c r="L125" s="5" t="s">
        <v>49</v>
      </c>
      <c r="M125" s="5" t="s">
        <v>329</v>
      </c>
      <c r="N125" s="7" t="s">
        <v>51</v>
      </c>
      <c r="O125" s="7" t="s">
        <v>52</v>
      </c>
      <c r="P125" s="7" t="s">
        <v>324</v>
      </c>
      <c r="Q125" s="5" t="str">
        <f aca="false">B125&amp;"|"&amp;D125</f>
        <v>B02|H1_2025</v>
      </c>
      <c r="R125" s="5" t="s">
        <v>325</v>
      </c>
      <c r="S125" s="5" t="s">
        <v>326</v>
      </c>
    </row>
    <row r="126" customFormat="false" ht="45.75" hidden="false" customHeight="true" outlineLevel="0" collapsed="false">
      <c r="A126" s="5" t="s">
        <v>345</v>
      </c>
      <c r="B126" s="5" t="s">
        <v>340</v>
      </c>
      <c r="C126" s="5" t="s">
        <v>341</v>
      </c>
      <c r="D126" s="5" t="s">
        <v>75</v>
      </c>
      <c r="E126" s="5" t="s">
        <v>122</v>
      </c>
      <c r="F126" s="5" t="s">
        <v>221</v>
      </c>
      <c r="G126" s="5"/>
      <c r="H126" s="5" t="s">
        <v>216</v>
      </c>
      <c r="I126" s="6" t="n">
        <v>-1.11</v>
      </c>
      <c r="J126" s="5" t="n">
        <f aca="false">IF(I126="","",IF(H126="EUR bn",I126*1000,I126))</f>
        <v>-1110</v>
      </c>
      <c r="K126" s="5" t="str">
        <f aca="false">IF(H126="EUR bn","EUR m",H126)</f>
        <v>EUR m</v>
      </c>
      <c r="L126" s="5" t="s">
        <v>49</v>
      </c>
      <c r="M126" s="5" t="s">
        <v>329</v>
      </c>
      <c r="N126" s="7" t="s">
        <v>51</v>
      </c>
      <c r="O126" s="7" t="s">
        <v>52</v>
      </c>
      <c r="P126" s="7" t="s">
        <v>337</v>
      </c>
      <c r="Q126" s="5" t="str">
        <f aca="false">B126&amp;"|"&amp;D126</f>
        <v>B02|FY_2025</v>
      </c>
      <c r="R126" s="5" t="s">
        <v>325</v>
      </c>
      <c r="S126" s="5" t="s">
        <v>326</v>
      </c>
    </row>
    <row r="127" customFormat="false" ht="34.5" hidden="false" customHeight="true" outlineLevel="0" collapsed="false">
      <c r="A127" s="5" t="s">
        <v>346</v>
      </c>
      <c r="B127" s="5" t="s">
        <v>340</v>
      </c>
      <c r="C127" s="5" t="s">
        <v>341</v>
      </c>
      <c r="D127" s="5" t="s">
        <v>79</v>
      </c>
      <c r="E127" s="5" t="s">
        <v>126</v>
      </c>
      <c r="F127" s="5" t="s">
        <v>221</v>
      </c>
      <c r="G127" s="5"/>
      <c r="H127" s="5" t="s">
        <v>216</v>
      </c>
      <c r="I127" s="6" t="n">
        <v>-0.05</v>
      </c>
      <c r="J127" s="5" t="n">
        <f aca="false">IF(I127="","",IF(H127="EUR bn",I127*1000,I127))</f>
        <v>-50</v>
      </c>
      <c r="K127" s="5" t="str">
        <f aca="false">IF(H127="EUR bn","EUR m",H127)</f>
        <v>EUR m</v>
      </c>
      <c r="L127" s="5" t="s">
        <v>49</v>
      </c>
      <c r="M127" s="5" t="s">
        <v>329</v>
      </c>
      <c r="N127" s="7" t="s">
        <v>51</v>
      </c>
      <c r="O127" s="7" t="s">
        <v>52</v>
      </c>
      <c r="P127" s="7" t="s">
        <v>324</v>
      </c>
      <c r="Q127" s="5" t="str">
        <f aca="false">B127&amp;"|"&amp;D127</f>
        <v>B02|H1_2026</v>
      </c>
      <c r="R127" s="5" t="s">
        <v>325</v>
      </c>
      <c r="S127" s="5" t="s">
        <v>326</v>
      </c>
    </row>
    <row r="128" customFormat="false" ht="34.5" hidden="false" customHeight="true" outlineLevel="0" collapsed="false">
      <c r="A128" s="5" t="s">
        <v>347</v>
      </c>
      <c r="B128" s="5" t="s">
        <v>348</v>
      </c>
      <c r="C128" s="5" t="s">
        <v>349</v>
      </c>
      <c r="D128" s="5" t="s">
        <v>56</v>
      </c>
      <c r="E128" s="5" t="s">
        <v>322</v>
      </c>
      <c r="F128" s="5" t="s">
        <v>323</v>
      </c>
      <c r="G128" s="5"/>
      <c r="H128" s="5" t="s">
        <v>216</v>
      </c>
      <c r="I128" s="6" t="n">
        <v>-0.6</v>
      </c>
      <c r="J128" s="5" t="n">
        <f aca="false">IF(I128="","",IF(H128="EUR bn",I128*1000,I128))</f>
        <v>-600</v>
      </c>
      <c r="K128" s="5" t="str">
        <f aca="false">IF(H128="EUR bn","EUR m",H128)</f>
        <v>EUR m</v>
      </c>
      <c r="L128" s="5" t="s">
        <v>49</v>
      </c>
      <c r="M128" s="5" t="s">
        <v>217</v>
      </c>
      <c r="N128" s="7" t="s">
        <v>51</v>
      </c>
      <c r="O128" s="7" t="s">
        <v>52</v>
      </c>
      <c r="P128" s="7" t="s">
        <v>324</v>
      </c>
      <c r="Q128" s="5" t="str">
        <f aca="false">B128&amp;"|"&amp;D128</f>
        <v>B03|FY_2023</v>
      </c>
      <c r="R128" s="5" t="s">
        <v>325</v>
      </c>
      <c r="S128" s="5" t="s">
        <v>326</v>
      </c>
    </row>
    <row r="129" customFormat="false" ht="34.5" hidden="false" customHeight="true" outlineLevel="0" collapsed="false">
      <c r="A129" s="5" t="s">
        <v>350</v>
      </c>
      <c r="B129" s="5" t="s">
        <v>348</v>
      </c>
      <c r="C129" s="5" t="s">
        <v>349</v>
      </c>
      <c r="D129" s="5" t="s">
        <v>61</v>
      </c>
      <c r="E129" s="5" t="s">
        <v>158</v>
      </c>
      <c r="F129" s="5" t="s">
        <v>328</v>
      </c>
      <c r="G129" s="5"/>
      <c r="H129" s="5" t="s">
        <v>216</v>
      </c>
      <c r="I129" s="6" t="n">
        <v>-0.16</v>
      </c>
      <c r="J129" s="5" t="n">
        <f aca="false">IF(I129="","",IF(H129="EUR bn",I129*1000,I129))</f>
        <v>-160</v>
      </c>
      <c r="K129" s="5" t="str">
        <f aca="false">IF(H129="EUR bn","EUR m",H129)</f>
        <v>EUR m</v>
      </c>
      <c r="L129" s="5" t="s">
        <v>49</v>
      </c>
      <c r="M129" s="5" t="s">
        <v>329</v>
      </c>
      <c r="N129" s="7" t="s">
        <v>51</v>
      </c>
      <c r="O129" s="7" t="s">
        <v>52</v>
      </c>
      <c r="P129" s="7" t="s">
        <v>324</v>
      </c>
      <c r="Q129" s="5" t="str">
        <f aca="false">B129&amp;"|"&amp;D129</f>
        <v>B03|H1_2024</v>
      </c>
      <c r="R129" s="5" t="s">
        <v>325</v>
      </c>
      <c r="S129" s="5" t="s">
        <v>326</v>
      </c>
    </row>
    <row r="130" customFormat="false" ht="34.5" hidden="false" customHeight="true" outlineLevel="0" collapsed="false">
      <c r="A130" s="5" t="s">
        <v>351</v>
      </c>
      <c r="B130" s="5" t="s">
        <v>348</v>
      </c>
      <c r="C130" s="5" t="s">
        <v>349</v>
      </c>
      <c r="D130" s="5" t="s">
        <v>66</v>
      </c>
      <c r="E130" s="5" t="s">
        <v>331</v>
      </c>
      <c r="F130" s="5" t="s">
        <v>332</v>
      </c>
      <c r="G130" s="5"/>
      <c r="H130" s="5" t="s">
        <v>216</v>
      </c>
      <c r="I130" s="6" t="n">
        <v>-0.3</v>
      </c>
      <c r="J130" s="5" t="n">
        <f aca="false">IF(I130="","",IF(H130="EUR bn",I130*1000,I130))</f>
        <v>-300</v>
      </c>
      <c r="K130" s="5" t="str">
        <f aca="false">IF(H130="EUR bn","EUR m",H130)</f>
        <v>EUR m</v>
      </c>
      <c r="L130" s="5" t="s">
        <v>49</v>
      </c>
      <c r="M130" s="5" t="s">
        <v>217</v>
      </c>
      <c r="N130" s="7" t="s">
        <v>51</v>
      </c>
      <c r="O130" s="7" t="s">
        <v>52</v>
      </c>
      <c r="P130" s="7" t="s">
        <v>324</v>
      </c>
      <c r="Q130" s="5" t="str">
        <f aca="false">B130&amp;"|"&amp;D130</f>
        <v>B03|FY_2024</v>
      </c>
      <c r="R130" s="5" t="s">
        <v>325</v>
      </c>
      <c r="S130" s="5" t="s">
        <v>326</v>
      </c>
    </row>
    <row r="131" customFormat="false" ht="34.5" hidden="false" customHeight="true" outlineLevel="0" collapsed="false">
      <c r="A131" s="5" t="s">
        <v>352</v>
      </c>
      <c r="B131" s="5" t="s">
        <v>348</v>
      </c>
      <c r="C131" s="5" t="s">
        <v>349</v>
      </c>
      <c r="D131" s="5" t="s">
        <v>70</v>
      </c>
      <c r="E131" s="5" t="s">
        <v>334</v>
      </c>
      <c r="F131" s="5" t="s">
        <v>335</v>
      </c>
      <c r="G131" s="5"/>
      <c r="H131" s="5" t="s">
        <v>216</v>
      </c>
      <c r="I131" s="6" t="n">
        <v>0.04</v>
      </c>
      <c r="J131" s="5" t="n">
        <f aca="false">IF(I131="","",IF(H131="EUR bn",I131*1000,I131))</f>
        <v>40</v>
      </c>
      <c r="K131" s="5" t="str">
        <f aca="false">IF(H131="EUR bn","EUR m",H131)</f>
        <v>EUR m</v>
      </c>
      <c r="L131" s="5" t="s">
        <v>49</v>
      </c>
      <c r="M131" s="5" t="s">
        <v>329</v>
      </c>
      <c r="N131" s="7" t="s">
        <v>51</v>
      </c>
      <c r="O131" s="7" t="s">
        <v>52</v>
      </c>
      <c r="P131" s="7" t="s">
        <v>324</v>
      </c>
      <c r="Q131" s="5" t="str">
        <f aca="false">B131&amp;"|"&amp;D131</f>
        <v>B03|H1_2025</v>
      </c>
      <c r="R131" s="5" t="s">
        <v>325</v>
      </c>
      <c r="S131" s="5" t="s">
        <v>326</v>
      </c>
    </row>
    <row r="132" customFormat="false" ht="45.75" hidden="false" customHeight="true" outlineLevel="0" collapsed="false">
      <c r="A132" s="5" t="s">
        <v>353</v>
      </c>
      <c r="B132" s="5" t="s">
        <v>348</v>
      </c>
      <c r="C132" s="5" t="s">
        <v>349</v>
      </c>
      <c r="D132" s="5" t="s">
        <v>75</v>
      </c>
      <c r="E132" s="5" t="s">
        <v>122</v>
      </c>
      <c r="F132" s="5" t="s">
        <v>221</v>
      </c>
      <c r="G132" s="5"/>
      <c r="H132" s="5" t="s">
        <v>216</v>
      </c>
      <c r="I132" s="6" t="n">
        <v>0.26</v>
      </c>
      <c r="J132" s="5" t="n">
        <f aca="false">IF(I132="","",IF(H132="EUR bn",I132*1000,I132))</f>
        <v>260</v>
      </c>
      <c r="K132" s="5" t="str">
        <f aca="false">IF(H132="EUR bn","EUR m",H132)</f>
        <v>EUR m</v>
      </c>
      <c r="L132" s="5" t="s">
        <v>49</v>
      </c>
      <c r="M132" s="5" t="s">
        <v>329</v>
      </c>
      <c r="N132" s="7" t="s">
        <v>51</v>
      </c>
      <c r="O132" s="7" t="s">
        <v>52</v>
      </c>
      <c r="P132" s="7" t="s">
        <v>337</v>
      </c>
      <c r="Q132" s="5" t="str">
        <f aca="false">B132&amp;"|"&amp;D132</f>
        <v>B03|FY_2025</v>
      </c>
      <c r="R132" s="5" t="s">
        <v>325</v>
      </c>
      <c r="S132" s="5" t="s">
        <v>326</v>
      </c>
    </row>
    <row r="133" customFormat="false" ht="34.5" hidden="false" customHeight="true" outlineLevel="0" collapsed="false">
      <c r="A133" s="5" t="s">
        <v>354</v>
      </c>
      <c r="B133" s="5" t="s">
        <v>348</v>
      </c>
      <c r="C133" s="5" t="s">
        <v>349</v>
      </c>
      <c r="D133" s="5" t="s">
        <v>79</v>
      </c>
      <c r="E133" s="5" t="s">
        <v>126</v>
      </c>
      <c r="F133" s="5" t="s">
        <v>221</v>
      </c>
      <c r="G133" s="5"/>
      <c r="H133" s="5" t="s">
        <v>216</v>
      </c>
      <c r="I133" s="6" t="n">
        <v>0.01</v>
      </c>
      <c r="J133" s="5" t="n">
        <f aca="false">IF(I133="","",IF(H133="EUR bn",I133*1000,I133))</f>
        <v>10</v>
      </c>
      <c r="K133" s="5" t="str">
        <f aca="false">IF(H133="EUR bn","EUR m",H133)</f>
        <v>EUR m</v>
      </c>
      <c r="L133" s="5" t="s">
        <v>49</v>
      </c>
      <c r="M133" s="5" t="s">
        <v>329</v>
      </c>
      <c r="N133" s="7" t="s">
        <v>51</v>
      </c>
      <c r="O133" s="7" t="s">
        <v>52</v>
      </c>
      <c r="P133" s="7" t="s">
        <v>324</v>
      </c>
      <c r="Q133" s="5" t="str">
        <f aca="false">B133&amp;"|"&amp;D133</f>
        <v>B03|H1_2026</v>
      </c>
      <c r="R133" s="5" t="s">
        <v>325</v>
      </c>
      <c r="S133" s="5" t="s">
        <v>326</v>
      </c>
    </row>
    <row r="134" customFormat="false" ht="34.5" hidden="false" customHeight="true" outlineLevel="0" collapsed="false">
      <c r="A134" s="5" t="s">
        <v>355</v>
      </c>
      <c r="B134" s="5" t="s">
        <v>356</v>
      </c>
      <c r="C134" s="5" t="s">
        <v>357</v>
      </c>
      <c r="D134" s="5" t="s">
        <v>56</v>
      </c>
      <c r="E134" s="5" t="s">
        <v>322</v>
      </c>
      <c r="F134" s="5" t="s">
        <v>323</v>
      </c>
      <c r="G134" s="5"/>
      <c r="H134" s="5" t="s">
        <v>216</v>
      </c>
      <c r="I134" s="6" t="n">
        <v>0.1</v>
      </c>
      <c r="J134" s="5" t="n">
        <f aca="false">IF(I134="","",IF(H134="EUR bn",I134*1000,I134))</f>
        <v>100</v>
      </c>
      <c r="K134" s="5" t="str">
        <f aca="false">IF(H134="EUR bn","EUR m",H134)</f>
        <v>EUR m</v>
      </c>
      <c r="L134" s="5" t="s">
        <v>49</v>
      </c>
      <c r="M134" s="5" t="s">
        <v>217</v>
      </c>
      <c r="N134" s="7" t="s">
        <v>51</v>
      </c>
      <c r="O134" s="7" t="s">
        <v>52</v>
      </c>
      <c r="P134" s="7" t="s">
        <v>324</v>
      </c>
      <c r="Q134" s="5" t="str">
        <f aca="false">B134&amp;"|"&amp;D134</f>
        <v>B04|FY_2023</v>
      </c>
      <c r="R134" s="5" t="s">
        <v>325</v>
      </c>
      <c r="S134" s="5" t="s">
        <v>326</v>
      </c>
    </row>
    <row r="135" customFormat="false" ht="34.5" hidden="false" customHeight="true" outlineLevel="0" collapsed="false">
      <c r="A135" s="5" t="s">
        <v>358</v>
      </c>
      <c r="B135" s="5" t="s">
        <v>356</v>
      </c>
      <c r="C135" s="5" t="s">
        <v>357</v>
      </c>
      <c r="D135" s="5" t="s">
        <v>61</v>
      </c>
      <c r="E135" s="5" t="s">
        <v>158</v>
      </c>
      <c r="F135" s="5" t="s">
        <v>328</v>
      </c>
      <c r="G135" s="5"/>
      <c r="H135" s="5" t="s">
        <v>216</v>
      </c>
      <c r="I135" s="6" t="n">
        <v>0.08</v>
      </c>
      <c r="J135" s="5" t="n">
        <f aca="false">IF(I135="","",IF(H135="EUR bn",I135*1000,I135))</f>
        <v>80</v>
      </c>
      <c r="K135" s="5" t="str">
        <f aca="false">IF(H135="EUR bn","EUR m",H135)</f>
        <v>EUR m</v>
      </c>
      <c r="L135" s="5" t="s">
        <v>49</v>
      </c>
      <c r="M135" s="5" t="s">
        <v>329</v>
      </c>
      <c r="N135" s="7" t="s">
        <v>51</v>
      </c>
      <c r="O135" s="7" t="s">
        <v>52</v>
      </c>
      <c r="P135" s="7" t="s">
        <v>324</v>
      </c>
      <c r="Q135" s="5" t="str">
        <f aca="false">B135&amp;"|"&amp;D135</f>
        <v>B04|H1_2024</v>
      </c>
      <c r="R135" s="5" t="s">
        <v>325</v>
      </c>
      <c r="S135" s="5" t="s">
        <v>326</v>
      </c>
    </row>
    <row r="136" customFormat="false" ht="34.5" hidden="false" customHeight="true" outlineLevel="0" collapsed="false">
      <c r="A136" s="5" t="s">
        <v>359</v>
      </c>
      <c r="B136" s="5" t="s">
        <v>356</v>
      </c>
      <c r="C136" s="5" t="s">
        <v>357</v>
      </c>
      <c r="D136" s="5" t="s">
        <v>66</v>
      </c>
      <c r="E136" s="5" t="s">
        <v>331</v>
      </c>
      <c r="F136" s="5" t="s">
        <v>332</v>
      </c>
      <c r="G136" s="5"/>
      <c r="H136" s="5" t="s">
        <v>216</v>
      </c>
      <c r="I136" s="6" t="n">
        <v>-0.1</v>
      </c>
      <c r="J136" s="5" t="n">
        <f aca="false">IF(I136="","",IF(H136="EUR bn",I136*1000,I136))</f>
        <v>-100</v>
      </c>
      <c r="K136" s="5" t="str">
        <f aca="false">IF(H136="EUR bn","EUR m",H136)</f>
        <v>EUR m</v>
      </c>
      <c r="L136" s="5" t="s">
        <v>49</v>
      </c>
      <c r="M136" s="5" t="s">
        <v>217</v>
      </c>
      <c r="N136" s="7" t="s">
        <v>51</v>
      </c>
      <c r="O136" s="7" t="s">
        <v>52</v>
      </c>
      <c r="P136" s="7" t="s">
        <v>324</v>
      </c>
      <c r="Q136" s="5" t="str">
        <f aca="false">B136&amp;"|"&amp;D136</f>
        <v>B04|FY_2024</v>
      </c>
      <c r="R136" s="5" t="s">
        <v>325</v>
      </c>
      <c r="S136" s="5" t="s">
        <v>326</v>
      </c>
    </row>
    <row r="137" customFormat="false" ht="34.5" hidden="false" customHeight="true" outlineLevel="0" collapsed="false">
      <c r="A137" s="5" t="s">
        <v>360</v>
      </c>
      <c r="B137" s="5" t="s">
        <v>356</v>
      </c>
      <c r="C137" s="5" t="s">
        <v>357</v>
      </c>
      <c r="D137" s="5" t="s">
        <v>70</v>
      </c>
      <c r="E137" s="5" t="s">
        <v>334</v>
      </c>
      <c r="F137" s="5" t="s">
        <v>335</v>
      </c>
      <c r="G137" s="5"/>
      <c r="H137" s="5" t="s">
        <v>216</v>
      </c>
      <c r="I137" s="6" t="n">
        <v>-0.26</v>
      </c>
      <c r="J137" s="5" t="n">
        <f aca="false">IF(I137="","",IF(H137="EUR bn",I137*1000,I137))</f>
        <v>-260</v>
      </c>
      <c r="K137" s="5" t="str">
        <f aca="false">IF(H137="EUR bn","EUR m",H137)</f>
        <v>EUR m</v>
      </c>
      <c r="L137" s="5" t="s">
        <v>49</v>
      </c>
      <c r="M137" s="5" t="s">
        <v>329</v>
      </c>
      <c r="N137" s="7" t="s">
        <v>51</v>
      </c>
      <c r="O137" s="7" t="s">
        <v>52</v>
      </c>
      <c r="P137" s="7" t="s">
        <v>324</v>
      </c>
      <c r="Q137" s="5" t="str">
        <f aca="false">B137&amp;"|"&amp;D137</f>
        <v>B04|H1_2025</v>
      </c>
      <c r="R137" s="5" t="s">
        <v>325</v>
      </c>
      <c r="S137" s="5" t="s">
        <v>326</v>
      </c>
    </row>
    <row r="138" customFormat="false" ht="45.75" hidden="false" customHeight="true" outlineLevel="0" collapsed="false">
      <c r="A138" s="5" t="s">
        <v>361</v>
      </c>
      <c r="B138" s="5" t="s">
        <v>356</v>
      </c>
      <c r="C138" s="5" t="s">
        <v>357</v>
      </c>
      <c r="D138" s="5" t="s">
        <v>75</v>
      </c>
      <c r="E138" s="5" t="s">
        <v>122</v>
      </c>
      <c r="F138" s="5" t="s">
        <v>221</v>
      </c>
      <c r="G138" s="5"/>
      <c r="H138" s="5" t="s">
        <v>216</v>
      </c>
      <c r="I138" s="6" t="n">
        <v>-0.21</v>
      </c>
      <c r="J138" s="5" t="n">
        <f aca="false">IF(I138="","",IF(H138="EUR bn",I138*1000,I138))</f>
        <v>-210</v>
      </c>
      <c r="K138" s="5" t="str">
        <f aca="false">IF(H138="EUR bn","EUR m",H138)</f>
        <v>EUR m</v>
      </c>
      <c r="L138" s="5" t="s">
        <v>49</v>
      </c>
      <c r="M138" s="5" t="s">
        <v>329</v>
      </c>
      <c r="N138" s="7" t="s">
        <v>51</v>
      </c>
      <c r="O138" s="7" t="s">
        <v>52</v>
      </c>
      <c r="P138" s="7" t="s">
        <v>337</v>
      </c>
      <c r="Q138" s="5" t="str">
        <f aca="false">B138&amp;"|"&amp;D138</f>
        <v>B04|FY_2025</v>
      </c>
      <c r="R138" s="5" t="s">
        <v>325</v>
      </c>
      <c r="S138" s="5" t="s">
        <v>326</v>
      </c>
    </row>
    <row r="139" customFormat="false" ht="34.5" hidden="false" customHeight="true" outlineLevel="0" collapsed="false">
      <c r="A139" s="5" t="s">
        <v>362</v>
      </c>
      <c r="B139" s="5" t="s">
        <v>356</v>
      </c>
      <c r="C139" s="5" t="s">
        <v>357</v>
      </c>
      <c r="D139" s="5" t="s">
        <v>79</v>
      </c>
      <c r="E139" s="5" t="s">
        <v>126</v>
      </c>
      <c r="F139" s="5" t="s">
        <v>221</v>
      </c>
      <c r="G139" s="5"/>
      <c r="H139" s="5" t="s">
        <v>216</v>
      </c>
      <c r="I139" s="6" t="n">
        <v>0.23</v>
      </c>
      <c r="J139" s="5" t="n">
        <f aca="false">IF(I139="","",IF(H139="EUR bn",I139*1000,I139))</f>
        <v>230</v>
      </c>
      <c r="K139" s="5" t="str">
        <f aca="false">IF(H139="EUR bn","EUR m",H139)</f>
        <v>EUR m</v>
      </c>
      <c r="L139" s="5" t="s">
        <v>49</v>
      </c>
      <c r="M139" s="5" t="s">
        <v>329</v>
      </c>
      <c r="N139" s="7" t="s">
        <v>51</v>
      </c>
      <c r="O139" s="7" t="s">
        <v>52</v>
      </c>
      <c r="P139" s="7" t="s">
        <v>324</v>
      </c>
      <c r="Q139" s="5" t="str">
        <f aca="false">B139&amp;"|"&amp;D139</f>
        <v>B04|H1_2026</v>
      </c>
      <c r="R139" s="5" t="s">
        <v>325</v>
      </c>
      <c r="S139" s="5" t="s">
        <v>326</v>
      </c>
    </row>
    <row r="140" customFormat="false" ht="23.25" hidden="false" customHeight="true" outlineLevel="0" collapsed="false">
      <c r="A140" s="5" t="s">
        <v>363</v>
      </c>
      <c r="B140" s="5" t="s">
        <v>364</v>
      </c>
      <c r="C140" s="5" t="s">
        <v>365</v>
      </c>
      <c r="D140" s="5" t="s">
        <v>70</v>
      </c>
      <c r="E140" s="5" t="s">
        <v>334</v>
      </c>
      <c r="F140" s="5" t="s">
        <v>335</v>
      </c>
      <c r="G140" s="5"/>
      <c r="H140" s="5" t="s">
        <v>216</v>
      </c>
      <c r="I140" s="6" t="n">
        <v>-1.1</v>
      </c>
      <c r="J140" s="5" t="n">
        <f aca="false">IF(I140="","",IF(H140="EUR bn",I140*1000,I140))</f>
        <v>-1100</v>
      </c>
      <c r="K140" s="5" t="str">
        <f aca="false">IF(H140="EUR bn","EUR m",H140)</f>
        <v>EUR m</v>
      </c>
      <c r="L140" s="5" t="s">
        <v>49</v>
      </c>
      <c r="M140" s="5" t="s">
        <v>329</v>
      </c>
      <c r="N140" s="7" t="s">
        <v>51</v>
      </c>
      <c r="O140" s="7" t="s">
        <v>52</v>
      </c>
      <c r="P140" s="7" t="s">
        <v>366</v>
      </c>
      <c r="Q140" s="5" t="str">
        <f aca="false">B140&amp;"|"&amp;D140</f>
        <v>B05|H1_2025</v>
      </c>
      <c r="R140" s="5" t="s">
        <v>367</v>
      </c>
      <c r="S140" s="5" t="s">
        <v>54</v>
      </c>
    </row>
    <row r="141" customFormat="false" ht="34.5" hidden="false" customHeight="true" outlineLevel="0" collapsed="false">
      <c r="A141" s="5" t="s">
        <v>368</v>
      </c>
      <c r="B141" s="5" t="s">
        <v>364</v>
      </c>
      <c r="C141" s="5" t="s">
        <v>365</v>
      </c>
      <c r="D141" s="5" t="s">
        <v>75</v>
      </c>
      <c r="E141" s="5" t="s">
        <v>122</v>
      </c>
      <c r="F141" s="5" t="s">
        <v>221</v>
      </c>
      <c r="G141" s="5"/>
      <c r="H141" s="5" t="s">
        <v>216</v>
      </c>
      <c r="I141" s="6" t="n">
        <v>-3.9</v>
      </c>
      <c r="J141" s="5" t="n">
        <f aca="false">IF(I141="","",IF(H141="EUR bn",I141*1000,I141))</f>
        <v>-3900</v>
      </c>
      <c r="K141" s="5" t="str">
        <f aca="false">IF(H141="EUR bn","EUR m",H141)</f>
        <v>EUR m</v>
      </c>
      <c r="L141" s="5" t="s">
        <v>49</v>
      </c>
      <c r="M141" s="5" t="s">
        <v>217</v>
      </c>
      <c r="N141" s="7" t="s">
        <v>51</v>
      </c>
      <c r="O141" s="7" t="s">
        <v>52</v>
      </c>
      <c r="P141" s="7" t="s">
        <v>369</v>
      </c>
      <c r="Q141" s="5" t="str">
        <f aca="false">B141&amp;"|"&amp;D141</f>
        <v>B05|FY_2025</v>
      </c>
      <c r="R141" s="5" t="s">
        <v>367</v>
      </c>
      <c r="S141" s="5" t="s">
        <v>54</v>
      </c>
    </row>
    <row r="142" customFormat="false" ht="23.25" hidden="false" customHeight="true" outlineLevel="0" collapsed="false">
      <c r="A142" s="5" t="s">
        <v>370</v>
      </c>
      <c r="B142" s="5" t="s">
        <v>364</v>
      </c>
      <c r="C142" s="5" t="s">
        <v>365</v>
      </c>
      <c r="D142" s="5" t="s">
        <v>79</v>
      </c>
      <c r="E142" s="5" t="s">
        <v>126</v>
      </c>
      <c r="F142" s="5" t="s">
        <v>221</v>
      </c>
      <c r="G142" s="5"/>
      <c r="H142" s="5" t="s">
        <v>216</v>
      </c>
      <c r="I142" s="6" t="n">
        <v>-0.1</v>
      </c>
      <c r="J142" s="5" t="n">
        <f aca="false">IF(I142="","",IF(H142="EUR bn",I142*1000,I142))</f>
        <v>-100</v>
      </c>
      <c r="K142" s="5" t="str">
        <f aca="false">IF(H142="EUR bn","EUR m",H142)</f>
        <v>EUR m</v>
      </c>
      <c r="L142" s="5" t="s">
        <v>49</v>
      </c>
      <c r="M142" s="5" t="s">
        <v>217</v>
      </c>
      <c r="N142" s="7" t="s">
        <v>51</v>
      </c>
      <c r="O142" s="7" t="s">
        <v>52</v>
      </c>
      <c r="P142" s="7" t="s">
        <v>371</v>
      </c>
      <c r="Q142" s="5" t="str">
        <f aca="false">B142&amp;"|"&amp;D142</f>
        <v>B05|H1_2026</v>
      </c>
      <c r="R142" s="5" t="s">
        <v>367</v>
      </c>
      <c r="S142" s="5" t="s">
        <v>54</v>
      </c>
    </row>
    <row r="143" customFormat="false" ht="34.5" hidden="false" customHeight="true" outlineLevel="0" collapsed="false">
      <c r="A143" s="5" t="s">
        <v>372</v>
      </c>
      <c r="B143" s="5" t="s">
        <v>373</v>
      </c>
      <c r="C143" s="5" t="s">
        <v>374</v>
      </c>
      <c r="D143" s="5" t="s">
        <v>44</v>
      </c>
      <c r="E143" s="5" t="s">
        <v>158</v>
      </c>
      <c r="F143" s="5" t="s">
        <v>375</v>
      </c>
      <c r="G143" s="5"/>
      <c r="H143" s="5" t="s">
        <v>376</v>
      </c>
      <c r="I143" s="6" t="n">
        <v>111</v>
      </c>
      <c r="J143" s="5" t="n">
        <f aca="false">IF(I143="","",IF(H143="EUR bn",I143*1000,I143))</f>
        <v>111</v>
      </c>
      <c r="K143" s="5" t="str">
        <f aca="false">IF(H143="EUR bn","EUR m",H143)</f>
        <v>EUR k</v>
      </c>
      <c r="L143" s="5" t="s">
        <v>49</v>
      </c>
      <c r="M143" s="5" t="s">
        <v>377</v>
      </c>
      <c r="N143" s="7" t="s">
        <v>51</v>
      </c>
      <c r="O143" s="7" t="s">
        <v>52</v>
      </c>
      <c r="P143" s="7" t="s">
        <v>378</v>
      </c>
      <c r="Q143" s="5" t="str">
        <f aca="false">B143&amp;"|"&amp;D143</f>
        <v>O06|H1_2023</v>
      </c>
      <c r="R143" s="5" t="s">
        <v>379</v>
      </c>
      <c r="S143" s="5" t="s">
        <v>380</v>
      </c>
    </row>
    <row r="144" customFormat="false" ht="57" hidden="false" customHeight="true" outlineLevel="0" collapsed="false">
      <c r="A144" s="5" t="s">
        <v>381</v>
      </c>
      <c r="B144" s="5" t="s">
        <v>373</v>
      </c>
      <c r="C144" s="5" t="s">
        <v>374</v>
      </c>
      <c r="D144" s="5" t="s">
        <v>56</v>
      </c>
      <c r="E144" s="5" t="s">
        <v>331</v>
      </c>
      <c r="F144" s="5" t="s">
        <v>382</v>
      </c>
      <c r="G144" s="5"/>
      <c r="H144" s="5" t="s">
        <v>376</v>
      </c>
      <c r="I144" s="8" t="n">
        <v>112</v>
      </c>
      <c r="J144" s="5" t="n">
        <f aca="false">IF(I144="","",IF(H144="EUR bn",I144*1000,I144))</f>
        <v>112</v>
      </c>
      <c r="K144" s="5" t="str">
        <f aca="false">IF(H144="EUR bn","EUR m",H144)</f>
        <v>EUR k</v>
      </c>
      <c r="L144" s="5" t="s">
        <v>49</v>
      </c>
      <c r="M144" s="5" t="s">
        <v>377</v>
      </c>
      <c r="N144" s="7" t="s">
        <v>51</v>
      </c>
      <c r="O144" s="7" t="s">
        <v>52</v>
      </c>
      <c r="P144" s="7" t="s">
        <v>383</v>
      </c>
      <c r="Q144" s="5" t="str">
        <f aca="false">B144&amp;"|"&amp;D144</f>
        <v>O06|FY_2023</v>
      </c>
      <c r="R144" s="5" t="s">
        <v>379</v>
      </c>
      <c r="S144" s="5" t="s">
        <v>384</v>
      </c>
    </row>
    <row r="145" customFormat="false" ht="23.25" hidden="false" customHeight="true" outlineLevel="0" collapsed="false">
      <c r="A145" s="5" t="s">
        <v>385</v>
      </c>
      <c r="B145" s="5" t="s">
        <v>373</v>
      </c>
      <c r="C145" s="5" t="s">
        <v>374</v>
      </c>
      <c r="D145" s="5" t="s">
        <v>61</v>
      </c>
      <c r="E145" s="5" t="s">
        <v>334</v>
      </c>
      <c r="F145" s="5" t="s">
        <v>386</v>
      </c>
      <c r="G145" s="5"/>
      <c r="H145" s="5" t="s">
        <v>376</v>
      </c>
      <c r="I145" s="6" t="n">
        <v>116</v>
      </c>
      <c r="J145" s="5" t="n">
        <f aca="false">IF(I145="","",IF(H145="EUR bn",I145*1000,I145))</f>
        <v>116</v>
      </c>
      <c r="K145" s="5" t="str">
        <f aca="false">IF(H145="EUR bn","EUR m",H145)</f>
        <v>EUR k</v>
      </c>
      <c r="L145" s="5" t="s">
        <v>49</v>
      </c>
      <c r="M145" s="5" t="s">
        <v>377</v>
      </c>
      <c r="N145" s="7" t="s">
        <v>51</v>
      </c>
      <c r="O145" s="7" t="s">
        <v>52</v>
      </c>
      <c r="P145" s="7" t="s">
        <v>53</v>
      </c>
      <c r="Q145" s="5" t="str">
        <f aca="false">B145&amp;"|"&amp;D145</f>
        <v>O06|H1_2024</v>
      </c>
      <c r="R145" s="5" t="s">
        <v>379</v>
      </c>
      <c r="S145" s="5" t="s">
        <v>54</v>
      </c>
    </row>
    <row r="146" customFormat="false" ht="23.25" hidden="false" customHeight="true" outlineLevel="0" collapsed="false">
      <c r="A146" s="5" t="s">
        <v>387</v>
      </c>
      <c r="B146" s="5" t="s">
        <v>373</v>
      </c>
      <c r="C146" s="5" t="s">
        <v>374</v>
      </c>
      <c r="D146" s="5" t="s">
        <v>66</v>
      </c>
      <c r="E146" s="5" t="s">
        <v>122</v>
      </c>
      <c r="F146" s="5" t="s">
        <v>388</v>
      </c>
      <c r="G146" s="5"/>
      <c r="H146" s="5" t="s">
        <v>376</v>
      </c>
      <c r="I146" s="6" t="n">
        <v>117</v>
      </c>
      <c r="J146" s="5" t="n">
        <f aca="false">IF(I146="","",IF(H146="EUR bn",I146*1000,I146))</f>
        <v>117</v>
      </c>
      <c r="K146" s="5" t="str">
        <f aca="false">IF(H146="EUR bn","EUR m",H146)</f>
        <v>EUR k</v>
      </c>
      <c r="L146" s="5" t="s">
        <v>49</v>
      </c>
      <c r="M146" s="5" t="s">
        <v>377</v>
      </c>
      <c r="N146" s="7" t="s">
        <v>51</v>
      </c>
      <c r="O146" s="7" t="s">
        <v>52</v>
      </c>
      <c r="P146" s="7" t="s">
        <v>53</v>
      </c>
      <c r="Q146" s="5" t="str">
        <f aca="false">B146&amp;"|"&amp;D146</f>
        <v>O06|FY_2024</v>
      </c>
      <c r="R146" s="5" t="s">
        <v>379</v>
      </c>
      <c r="S146" s="5" t="s">
        <v>54</v>
      </c>
    </row>
    <row r="147" customFormat="false" ht="23.25" hidden="false" customHeight="true" outlineLevel="0" collapsed="false">
      <c r="A147" s="5" t="s">
        <v>389</v>
      </c>
      <c r="B147" s="5" t="s">
        <v>373</v>
      </c>
      <c r="C147" s="5" t="s">
        <v>374</v>
      </c>
      <c r="D147" s="5" t="s">
        <v>70</v>
      </c>
      <c r="E147" s="5" t="s">
        <v>126</v>
      </c>
      <c r="F147" s="5" t="s">
        <v>388</v>
      </c>
      <c r="G147" s="5"/>
      <c r="H147" s="5" t="s">
        <v>376</v>
      </c>
      <c r="I147" s="6" t="n">
        <v>119</v>
      </c>
      <c r="J147" s="5" t="n">
        <f aca="false">IF(I147="","",IF(H147="EUR bn",I147*1000,I147))</f>
        <v>119</v>
      </c>
      <c r="K147" s="5" t="str">
        <f aca="false">IF(H147="EUR bn","EUR m",H147)</f>
        <v>EUR k</v>
      </c>
      <c r="L147" s="5" t="s">
        <v>49</v>
      </c>
      <c r="M147" s="5" t="s">
        <v>377</v>
      </c>
      <c r="N147" s="7" t="s">
        <v>51</v>
      </c>
      <c r="O147" s="7" t="s">
        <v>52</v>
      </c>
      <c r="P147" s="7" t="s">
        <v>390</v>
      </c>
      <c r="Q147" s="5" t="str">
        <f aca="false">B147&amp;"|"&amp;D147</f>
        <v>O06|H1_2025</v>
      </c>
      <c r="R147" s="5" t="s">
        <v>379</v>
      </c>
      <c r="S147" s="5" t="s">
        <v>54</v>
      </c>
    </row>
    <row r="148" customFormat="false" ht="23.25" hidden="false" customHeight="true" outlineLevel="0" collapsed="false">
      <c r="A148" s="5" t="s">
        <v>391</v>
      </c>
      <c r="B148" s="5" t="s">
        <v>373</v>
      </c>
      <c r="C148" s="5" t="s">
        <v>374</v>
      </c>
      <c r="D148" s="5" t="s">
        <v>75</v>
      </c>
      <c r="E148" s="5" t="s">
        <v>122</v>
      </c>
      <c r="F148" s="5" t="s">
        <v>392</v>
      </c>
      <c r="G148" s="5"/>
      <c r="H148" s="5" t="s">
        <v>376</v>
      </c>
      <c r="I148" s="6" t="n">
        <v>121</v>
      </c>
      <c r="J148" s="5" t="n">
        <f aca="false">IF(I148="","",IF(H148="EUR bn",I148*1000,I148))</f>
        <v>121</v>
      </c>
      <c r="K148" s="5" t="str">
        <f aca="false">IF(H148="EUR bn","EUR m",H148)</f>
        <v>EUR k</v>
      </c>
      <c r="L148" s="5" t="s">
        <v>49</v>
      </c>
      <c r="M148" s="5" t="s">
        <v>377</v>
      </c>
      <c r="N148" s="7" t="s">
        <v>51</v>
      </c>
      <c r="O148" s="7" t="s">
        <v>52</v>
      </c>
      <c r="P148" s="7" t="s">
        <v>53</v>
      </c>
      <c r="Q148" s="5" t="str">
        <f aca="false">B148&amp;"|"&amp;D148</f>
        <v>O06|FY_2025</v>
      </c>
      <c r="R148" s="5" t="s">
        <v>379</v>
      </c>
      <c r="S148" s="5" t="s">
        <v>54</v>
      </c>
    </row>
    <row r="149" customFormat="false" ht="23.25" hidden="false" customHeight="true" outlineLevel="0" collapsed="false">
      <c r="A149" s="5" t="s">
        <v>393</v>
      </c>
      <c r="B149" s="5" t="s">
        <v>373</v>
      </c>
      <c r="C149" s="5" t="s">
        <v>374</v>
      </c>
      <c r="D149" s="5" t="s">
        <v>79</v>
      </c>
      <c r="E149" s="5" t="s">
        <v>126</v>
      </c>
      <c r="F149" s="5" t="s">
        <v>392</v>
      </c>
      <c r="G149" s="5"/>
      <c r="H149" s="5" t="s">
        <v>376</v>
      </c>
      <c r="I149" s="6" t="n">
        <v>126</v>
      </c>
      <c r="J149" s="5" t="n">
        <f aca="false">IF(I149="","",IF(H149="EUR bn",I149*1000,I149))</f>
        <v>126</v>
      </c>
      <c r="K149" s="5" t="str">
        <f aca="false">IF(H149="EUR bn","EUR m",H149)</f>
        <v>EUR k</v>
      </c>
      <c r="L149" s="5" t="s">
        <v>49</v>
      </c>
      <c r="M149" s="5" t="s">
        <v>377</v>
      </c>
      <c r="N149" s="7" t="s">
        <v>51</v>
      </c>
      <c r="O149" s="7" t="s">
        <v>52</v>
      </c>
      <c r="P149" s="7" t="s">
        <v>53</v>
      </c>
      <c r="Q149" s="5" t="str">
        <f aca="false">B149&amp;"|"&amp;D149</f>
        <v>O06|H1_2026</v>
      </c>
      <c r="R149" s="5" t="s">
        <v>379</v>
      </c>
      <c r="S149" s="5" t="s">
        <v>54</v>
      </c>
    </row>
    <row r="150" customFormat="false" ht="34.5" hidden="false" customHeight="true" outlineLevel="0" collapsed="false">
      <c r="A150" s="5" t="s">
        <v>394</v>
      </c>
      <c r="B150" s="5" t="s">
        <v>395</v>
      </c>
      <c r="C150" s="5" t="s">
        <v>396</v>
      </c>
      <c r="D150" s="5" t="s">
        <v>44</v>
      </c>
      <c r="E150" s="5" t="s">
        <v>62</v>
      </c>
      <c r="F150" s="5" t="s">
        <v>397</v>
      </c>
      <c r="G150" s="5"/>
      <c r="H150" s="5" t="s">
        <v>106</v>
      </c>
      <c r="I150" s="6" t="n">
        <v>10.8</v>
      </c>
      <c r="J150" s="5" t="n">
        <f aca="false">IF(I150="","",IF(H150="EUR bn",I150*1000,I150))</f>
        <v>10.8</v>
      </c>
      <c r="K150" s="5" t="str">
        <f aca="false">IF(H150="EUR bn","EUR m",H150)</f>
        <v>%</v>
      </c>
      <c r="L150" s="5" t="s">
        <v>49</v>
      </c>
      <c r="M150" s="5" t="s">
        <v>107</v>
      </c>
      <c r="N150" s="7" t="s">
        <v>51</v>
      </c>
      <c r="O150" s="7" t="s">
        <v>52</v>
      </c>
      <c r="P150" s="7" t="s">
        <v>398</v>
      </c>
      <c r="Q150" s="5" t="str">
        <f aca="false">B150&amp;"|"&amp;D150</f>
        <v>O07|H1_2023</v>
      </c>
      <c r="R150" s="5" t="s">
        <v>399</v>
      </c>
      <c r="S150" s="5" t="s">
        <v>54</v>
      </c>
    </row>
    <row r="151" customFormat="false" ht="45.75" hidden="false" customHeight="true" outlineLevel="0" collapsed="false">
      <c r="A151" s="5" t="s">
        <v>400</v>
      </c>
      <c r="B151" s="5" t="s">
        <v>395</v>
      </c>
      <c r="C151" s="5" t="s">
        <v>396</v>
      </c>
      <c r="D151" s="5" t="s">
        <v>56</v>
      </c>
      <c r="E151" s="5" t="s">
        <v>331</v>
      </c>
      <c r="F151" s="5" t="s">
        <v>401</v>
      </c>
      <c r="G151" s="5"/>
      <c r="H151" s="5" t="s">
        <v>106</v>
      </c>
      <c r="I151" s="6" t="n">
        <v>12.8</v>
      </c>
      <c r="J151" s="5" t="n">
        <f aca="false">IF(I151="","",IF(H151="EUR bn",I151*1000,I151))</f>
        <v>12.8</v>
      </c>
      <c r="K151" s="5" t="str">
        <f aca="false">IF(H151="EUR bn","EUR m",H151)</f>
        <v>%</v>
      </c>
      <c r="L151" s="5" t="s">
        <v>49</v>
      </c>
      <c r="M151" s="5" t="s">
        <v>107</v>
      </c>
      <c r="N151" s="7" t="s">
        <v>51</v>
      </c>
      <c r="O151" s="7" t="s">
        <v>160</v>
      </c>
      <c r="P151" s="7" t="s">
        <v>402</v>
      </c>
      <c r="Q151" s="5" t="str">
        <f aca="false">B151&amp;"|"&amp;D151</f>
        <v>O07|FY_2023</v>
      </c>
      <c r="R151" s="5" t="s">
        <v>399</v>
      </c>
      <c r="S151" s="5" t="s">
        <v>403</v>
      </c>
    </row>
    <row r="152" customFormat="false" ht="45.75" hidden="false" customHeight="true" outlineLevel="0" collapsed="false">
      <c r="A152" s="5" t="s">
        <v>404</v>
      </c>
      <c r="B152" s="5" t="s">
        <v>395</v>
      </c>
      <c r="C152" s="5" t="s">
        <v>396</v>
      </c>
      <c r="D152" s="5" t="s">
        <v>61</v>
      </c>
      <c r="E152" s="5" t="s">
        <v>62</v>
      </c>
      <c r="F152" s="5" t="s">
        <v>405</v>
      </c>
      <c r="G152" s="5"/>
      <c r="H152" s="5" t="s">
        <v>106</v>
      </c>
      <c r="I152" s="6" t="n">
        <v>5.9</v>
      </c>
      <c r="J152" s="5" t="n">
        <f aca="false">IF(I152="","",IF(H152="EUR bn",I152*1000,I152))</f>
        <v>5.9</v>
      </c>
      <c r="K152" s="5" t="str">
        <f aca="false">IF(H152="EUR bn","EUR m",H152)</f>
        <v>%</v>
      </c>
      <c r="L152" s="5" t="s">
        <v>49</v>
      </c>
      <c r="M152" s="5" t="s">
        <v>107</v>
      </c>
      <c r="N152" s="7" t="s">
        <v>51</v>
      </c>
      <c r="O152" s="7" t="s">
        <v>52</v>
      </c>
      <c r="P152" s="7" t="s">
        <v>406</v>
      </c>
      <c r="Q152" s="5" t="str">
        <f aca="false">B152&amp;"|"&amp;D152</f>
        <v>O07|H1_2024</v>
      </c>
      <c r="R152" s="5" t="s">
        <v>399</v>
      </c>
      <c r="S152" s="5" t="s">
        <v>54</v>
      </c>
    </row>
    <row r="153" customFormat="false" ht="23.25" hidden="false" customHeight="true" outlineLevel="0" collapsed="false">
      <c r="A153" s="5" t="s">
        <v>407</v>
      </c>
      <c r="B153" s="5" t="s">
        <v>395</v>
      </c>
      <c r="C153" s="5" t="s">
        <v>396</v>
      </c>
      <c r="D153" s="5" t="s">
        <v>66</v>
      </c>
      <c r="E153" s="5" t="s">
        <v>122</v>
      </c>
      <c r="F153" s="5" t="s">
        <v>405</v>
      </c>
      <c r="G153" s="5"/>
      <c r="H153" s="5" t="s">
        <v>106</v>
      </c>
      <c r="I153" s="6" t="n">
        <v>12.7</v>
      </c>
      <c r="J153" s="5" t="n">
        <f aca="false">IF(I153="","",IF(H153="EUR bn",I153*1000,I153))</f>
        <v>12.7</v>
      </c>
      <c r="K153" s="5" t="str">
        <f aca="false">IF(H153="EUR bn","EUR m",H153)</f>
        <v>%</v>
      </c>
      <c r="L153" s="5" t="s">
        <v>49</v>
      </c>
      <c r="M153" s="5" t="s">
        <v>107</v>
      </c>
      <c r="N153" s="7" t="s">
        <v>51</v>
      </c>
      <c r="O153" s="7" t="s">
        <v>52</v>
      </c>
      <c r="P153" s="7" t="s">
        <v>408</v>
      </c>
      <c r="Q153" s="5" t="str">
        <f aca="false">B153&amp;"|"&amp;D153</f>
        <v>O07|FY_2024</v>
      </c>
      <c r="R153" s="5" t="s">
        <v>399</v>
      </c>
      <c r="S153" s="5" t="s">
        <v>54</v>
      </c>
    </row>
    <row r="154" customFormat="false" ht="23.25" hidden="false" customHeight="true" outlineLevel="0" collapsed="false">
      <c r="A154" s="5" t="s">
        <v>409</v>
      </c>
      <c r="B154" s="5" t="s">
        <v>395</v>
      </c>
      <c r="C154" s="5" t="s">
        <v>396</v>
      </c>
      <c r="D154" s="5" t="s">
        <v>70</v>
      </c>
      <c r="E154" s="5" t="s">
        <v>71</v>
      </c>
      <c r="F154" s="5" t="s">
        <v>410</v>
      </c>
      <c r="G154" s="5"/>
      <c r="H154" s="5" t="s">
        <v>106</v>
      </c>
      <c r="I154" s="6" t="n">
        <v>23.5</v>
      </c>
      <c r="J154" s="5" t="n">
        <f aca="false">IF(I154="","",IF(H154="EUR bn",I154*1000,I154))</f>
        <v>23.5</v>
      </c>
      <c r="K154" s="5" t="str">
        <f aca="false">IF(H154="EUR bn","EUR m",H154)</f>
        <v>%</v>
      </c>
      <c r="L154" s="5" t="s">
        <v>49</v>
      </c>
      <c r="M154" s="5" t="s">
        <v>107</v>
      </c>
      <c r="N154" s="7" t="s">
        <v>51</v>
      </c>
      <c r="O154" s="7" t="s">
        <v>52</v>
      </c>
      <c r="P154" s="7" t="s">
        <v>53</v>
      </c>
      <c r="Q154" s="5" t="str">
        <f aca="false">B154&amp;"|"&amp;D154</f>
        <v>O07|H1_2025</v>
      </c>
      <c r="R154" s="5" t="s">
        <v>399</v>
      </c>
      <c r="S154" s="5" t="s">
        <v>54</v>
      </c>
    </row>
    <row r="155" customFormat="false" ht="23.25" hidden="false" customHeight="true" outlineLevel="0" collapsed="false">
      <c r="A155" s="5" t="s">
        <v>411</v>
      </c>
      <c r="B155" s="5" t="s">
        <v>395</v>
      </c>
      <c r="C155" s="5" t="s">
        <v>396</v>
      </c>
      <c r="D155" s="5" t="s">
        <v>75</v>
      </c>
      <c r="E155" s="5" t="s">
        <v>122</v>
      </c>
      <c r="F155" s="5" t="s">
        <v>405</v>
      </c>
      <c r="G155" s="5"/>
      <c r="H155" s="5" t="s">
        <v>106</v>
      </c>
      <c r="I155" s="6" t="n">
        <v>22.2</v>
      </c>
      <c r="J155" s="5" t="n">
        <f aca="false">IF(I155="","",IF(H155="EUR bn",I155*1000,I155))</f>
        <v>22.2</v>
      </c>
      <c r="K155" s="5" t="str">
        <f aca="false">IF(H155="EUR bn","EUR m",H155)</f>
        <v>%</v>
      </c>
      <c r="L155" s="5" t="s">
        <v>49</v>
      </c>
      <c r="M155" s="5" t="s">
        <v>107</v>
      </c>
      <c r="N155" s="7" t="s">
        <v>51</v>
      </c>
      <c r="O155" s="7" t="s">
        <v>52</v>
      </c>
      <c r="P155" s="7" t="s">
        <v>408</v>
      </c>
      <c r="Q155" s="5" t="str">
        <f aca="false">B155&amp;"|"&amp;D155</f>
        <v>O07|FY_2025</v>
      </c>
      <c r="R155" s="5" t="s">
        <v>399</v>
      </c>
      <c r="S155" s="5" t="s">
        <v>54</v>
      </c>
    </row>
    <row r="156" customFormat="false" ht="23.25" hidden="false" customHeight="true" outlineLevel="0" collapsed="false">
      <c r="A156" s="5" t="s">
        <v>412</v>
      </c>
      <c r="B156" s="5" t="s">
        <v>395</v>
      </c>
      <c r="C156" s="5" t="s">
        <v>396</v>
      </c>
      <c r="D156" s="5" t="s">
        <v>79</v>
      </c>
      <c r="E156" s="5" t="s">
        <v>80</v>
      </c>
      <c r="F156" s="5" t="s">
        <v>410</v>
      </c>
      <c r="G156" s="5"/>
      <c r="H156" s="5" t="s">
        <v>106</v>
      </c>
      <c r="I156" s="6" t="n">
        <v>19.4</v>
      </c>
      <c r="J156" s="5" t="n">
        <f aca="false">IF(I156="","",IF(H156="EUR bn",I156*1000,I156))</f>
        <v>19.4</v>
      </c>
      <c r="K156" s="5" t="str">
        <f aca="false">IF(H156="EUR bn","EUR m",H156)</f>
        <v>%</v>
      </c>
      <c r="L156" s="5" t="s">
        <v>49</v>
      </c>
      <c r="M156" s="5" t="s">
        <v>107</v>
      </c>
      <c r="N156" s="7" t="s">
        <v>51</v>
      </c>
      <c r="O156" s="7" t="s">
        <v>52</v>
      </c>
      <c r="P156" s="7" t="s">
        <v>53</v>
      </c>
      <c r="Q156" s="5" t="str">
        <f aca="false">B156&amp;"|"&amp;D156</f>
        <v>O07|H1_2026</v>
      </c>
      <c r="R156" s="5" t="s">
        <v>399</v>
      </c>
      <c r="S156" s="5" t="s">
        <v>54</v>
      </c>
    </row>
  </sheetData>
  <autoFilter ref="A1:S156"/>
  <dataValidations count="2">
    <dataValidation allowBlank="false" errorStyle="stop" operator="between" showDropDown="false" showErrorMessage="false" showInputMessage="false" sqref="H2:H156" type="list">
      <formula1>"EUR m,EUR bn,EUR k,%,units"</formula1>
      <formula2>0</formula2>
    </dataValidation>
    <dataValidation allowBlank="true" errorStyle="stop" operator="between" showDropDown="false" showErrorMessage="false" showInputMessage="false" sqref="O2:O156" type="list">
      <formula1>"Y,N,N/A"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5" min="2" style="1" width="22"/>
    <col collapsed="false" customWidth="true" hidden="false" outlineLevel="0" max="6" min="6" style="1" width="60"/>
    <col collapsed="false" customWidth="true" hidden="false" outlineLevel="0" max="8" min="7" style="1" width="18"/>
    <col collapsed="false" customWidth="true" hidden="false" outlineLevel="0" max="9" min="9" style="1" width="22"/>
  </cols>
  <sheetData>
    <row r="1" customFormat="false" ht="23.25" hidden="false" customHeight="true" outlineLevel="0" collapsed="false">
      <c r="A1" s="9" t="s">
        <v>25</v>
      </c>
      <c r="B1" s="9" t="s">
        <v>413</v>
      </c>
      <c r="C1" s="9" t="s">
        <v>414</v>
      </c>
      <c r="D1" s="9" t="s">
        <v>415</v>
      </c>
      <c r="E1" s="9" t="s">
        <v>416</v>
      </c>
      <c r="F1" s="9" t="s">
        <v>417</v>
      </c>
      <c r="G1" s="9" t="s">
        <v>418</v>
      </c>
      <c r="H1" s="9" t="s">
        <v>419</v>
      </c>
      <c r="I1" s="9" t="s">
        <v>420</v>
      </c>
    </row>
    <row r="2" customFormat="false" ht="15" hidden="false" customHeight="true" outlineLevel="0" collapsed="false">
      <c r="A2" s="10" t="s">
        <v>421</v>
      </c>
      <c r="B2" s="11" t="n">
        <v>17921.7</v>
      </c>
      <c r="C2" s="11" t="n">
        <v>3480.2</v>
      </c>
      <c r="D2" s="12" t="n">
        <v>148568</v>
      </c>
      <c r="E2" s="12" t="n">
        <v>145860</v>
      </c>
      <c r="F2" s="10" t="s">
        <v>422</v>
      </c>
      <c r="G2" s="11" t="n">
        <v>5053.6</v>
      </c>
      <c r="H2" s="11" t="n">
        <v>-1722</v>
      </c>
      <c r="I2" s="11" t="n">
        <v>149</v>
      </c>
    </row>
    <row r="3" customFormat="false" ht="15" hidden="false" customHeight="true" outlineLevel="0" collapsed="false">
      <c r="A3" s="10" t="s">
        <v>423</v>
      </c>
      <c r="B3" s="11" t="n">
        <v>37637.4</v>
      </c>
      <c r="C3" s="11" t="n">
        <v>6772.4</v>
      </c>
      <c r="D3" s="12" t="n">
        <v>313721</v>
      </c>
      <c r="E3" s="12" t="n">
        <v>309884</v>
      </c>
      <c r="F3" s="10" t="s">
        <v>422</v>
      </c>
      <c r="G3" s="11" t="n">
        <v>10548.6</v>
      </c>
      <c r="H3" s="11" t="n">
        <v>-4008.2</v>
      </c>
      <c r="I3" s="11" t="n">
        <v>231.9</v>
      </c>
    </row>
    <row r="4" customFormat="false" ht="15" hidden="false" customHeight="true" outlineLevel="0" collapsed="false">
      <c r="A4" s="10" t="s">
        <v>44</v>
      </c>
      <c r="B4" s="11" t="n">
        <v>20430.9</v>
      </c>
      <c r="C4" s="11" t="n">
        <v>3852.2</v>
      </c>
      <c r="D4" s="12" t="n">
        <v>170802</v>
      </c>
      <c r="E4" s="12" t="n">
        <v>167354</v>
      </c>
      <c r="F4" s="10" t="s">
        <v>424</v>
      </c>
      <c r="G4" s="11" t="n">
        <v>5909.4</v>
      </c>
      <c r="H4" s="11" t="n">
        <v>-2168</v>
      </c>
      <c r="I4" s="11" t="n">
        <v>110.9</v>
      </c>
    </row>
    <row r="5" customFormat="false" ht="15" hidden="false" customHeight="true" outlineLevel="0" collapsed="false">
      <c r="A5" s="10" t="s">
        <v>56</v>
      </c>
      <c r="B5" s="11" t="n">
        <v>40529.6</v>
      </c>
      <c r="C5" s="11" t="n">
        <v>7284.3</v>
      </c>
      <c r="D5" s="12" t="n">
        <v>333605</v>
      </c>
      <c r="E5" s="12" t="n">
        <v>320221</v>
      </c>
      <c r="F5" s="10" t="s">
        <v>424</v>
      </c>
      <c r="G5" s="11" t="n">
        <v>11605.9</v>
      </c>
      <c r="H5" s="11" t="n">
        <v>-4656.2</v>
      </c>
      <c r="I5" s="11" t="n">
        <v>334.6</v>
      </c>
    </row>
    <row r="6" customFormat="false" ht="15" hidden="false" customHeight="true" outlineLevel="0" collapsed="false">
      <c r="A6" s="10" t="s">
        <v>61</v>
      </c>
      <c r="B6" s="11" t="n">
        <v>19457</v>
      </c>
      <c r="C6" s="11" t="n">
        <v>3061.5</v>
      </c>
      <c r="D6" s="12" t="n">
        <v>151944</v>
      </c>
      <c r="E6" s="12" t="n">
        <v>155945</v>
      </c>
      <c r="F6" s="10" t="s">
        <v>424</v>
      </c>
      <c r="G6" s="11" t="n">
        <v>5206</v>
      </c>
      <c r="H6" s="11" t="n">
        <v>-2331.1</v>
      </c>
      <c r="I6" s="11" t="n">
        <v>186.6</v>
      </c>
    </row>
    <row r="7" customFormat="false" ht="15" hidden="false" customHeight="true" outlineLevel="0" collapsed="false">
      <c r="A7" s="10" t="s">
        <v>66</v>
      </c>
      <c r="B7" s="11" t="n">
        <v>40083.3</v>
      </c>
      <c r="C7" s="11" t="n">
        <v>5636.9</v>
      </c>
      <c r="D7" s="12" t="n">
        <v>312620</v>
      </c>
      <c r="E7" s="12" t="n">
        <v>310718</v>
      </c>
      <c r="F7" s="10" t="s">
        <v>424</v>
      </c>
      <c r="G7" s="11" t="n">
        <v>10327.4</v>
      </c>
      <c r="H7" s="11" t="n">
        <v>-4958.7</v>
      </c>
      <c r="I7" s="11" t="n">
        <v>268.1</v>
      </c>
    </row>
    <row r="8" customFormat="false" ht="15" hidden="false" customHeight="true" outlineLevel="0" collapsed="false">
      <c r="A8" s="10" t="s">
        <v>70</v>
      </c>
      <c r="B8" s="11" t="n">
        <v>18157.3</v>
      </c>
      <c r="C8" s="11" t="n">
        <v>1006.8</v>
      </c>
      <c r="D8" s="12" t="n">
        <v>135142</v>
      </c>
      <c r="E8" s="12" t="n">
        <v>146391</v>
      </c>
      <c r="F8" s="10" t="s">
        <v>424</v>
      </c>
      <c r="G8" s="11" t="n">
        <v>3363.9</v>
      </c>
      <c r="H8" s="11" t="n">
        <v>-2288.2</v>
      </c>
      <c r="I8" s="11" t="n">
        <v>-68.9</v>
      </c>
    </row>
    <row r="9" customFormat="false" ht="15" hidden="false" customHeight="true" outlineLevel="0" collapsed="false">
      <c r="A9" s="10" t="s">
        <v>75</v>
      </c>
      <c r="B9" s="11" t="n">
        <v>36271.6</v>
      </c>
      <c r="C9" s="11" t="n">
        <v>413.3</v>
      </c>
      <c r="D9" s="12" t="n">
        <v>265663</v>
      </c>
      <c r="E9" s="12" t="n">
        <v>279449</v>
      </c>
      <c r="F9" s="10" t="s">
        <v>424</v>
      </c>
      <c r="G9" s="11" t="n">
        <v>5050.9</v>
      </c>
      <c r="H9" s="11" t="n">
        <v>-4694.2</v>
      </c>
      <c r="I9" s="11" t="n">
        <v>56.7</v>
      </c>
    </row>
    <row r="10" customFormat="false" ht="15" hidden="false" customHeight="true" outlineLevel="0" collapsed="false">
      <c r="A10" s="10" t="s">
        <v>79</v>
      </c>
      <c r="B10" s="11" t="n">
        <v>17229.5</v>
      </c>
      <c r="C10" s="11" t="n">
        <v>1348.2</v>
      </c>
      <c r="D10" s="12" t="n">
        <v>120508</v>
      </c>
      <c r="E10" s="12" t="n">
        <v>122306</v>
      </c>
      <c r="F10" s="10" t="s">
        <v>424</v>
      </c>
      <c r="G10" s="11" t="n">
        <v>3465.8</v>
      </c>
      <c r="H10" s="11" t="n">
        <v>-2275.5</v>
      </c>
      <c r="I10" s="11" t="n">
        <v>157.9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15" min="2" style="1" width="24"/>
  </cols>
  <sheetData>
    <row r="1" customFormat="false" ht="34.5" hidden="false" customHeight="true" outlineLevel="0" collapsed="false">
      <c r="A1" s="9" t="s">
        <v>25</v>
      </c>
      <c r="B1" s="9" t="s">
        <v>425</v>
      </c>
      <c r="C1" s="9" t="s">
        <v>426</v>
      </c>
      <c r="D1" s="9" t="s">
        <v>427</v>
      </c>
      <c r="E1" s="9" t="s">
        <v>428</v>
      </c>
      <c r="F1" s="9" t="s">
        <v>429</v>
      </c>
      <c r="G1" s="9" t="s">
        <v>430</v>
      </c>
      <c r="H1" s="9" t="s">
        <v>431</v>
      </c>
      <c r="I1" s="9" t="s">
        <v>432</v>
      </c>
      <c r="J1" s="9" t="s">
        <v>433</v>
      </c>
      <c r="K1" s="9" t="s">
        <v>434</v>
      </c>
      <c r="L1" s="9" t="s">
        <v>435</v>
      </c>
      <c r="M1" s="9" t="s">
        <v>436</v>
      </c>
      <c r="N1" s="9" t="s">
        <v>437</v>
      </c>
      <c r="O1" s="9" t="s">
        <v>438</v>
      </c>
    </row>
    <row r="2" customFormat="false" ht="15" hidden="false" customHeight="true" outlineLevel="0" collapsed="false">
      <c r="A2" s="2" t="s">
        <v>44</v>
      </c>
      <c r="B2" s="3" t="str">
        <f aca="false">IF((COUNTIFS(Inputs!$Q$2:$Q$156,"A05|"&amp;$A2,Inputs!$I$2:$I$156,"&lt;&gt;"))*(COUNTIFS(Inputs!$Q$2:$Q$156,"A06|"&amp;$A2,Inputs!$I$2:$I$156,"&lt;&gt;"))*(COUNTIFS(Inputs!$Q$2:$Q$156,"A08|"&amp;$A2,Inputs!$I$2:$I$156,"&lt;&gt;"))=0,"PENDING",IF(ABS(SUMIFS(Inputs!$J$2:$J$156,Inputs!$Q$2:$Q$156,"A05|"&amp;$A2)-SUMIFS(Inputs!$J$2:$J$156,Inputs!$Q$2:$Q$156,"A06|"&amp;$A2)-SUMIFS(Inputs!$J$2:$J$156,Inputs!$Q$2:$Q$156,"A08|"&amp;$A2))&lt;=2,"OK","CHECK"))</f>
        <v>OK</v>
      </c>
      <c r="C2" s="3" t="str">
        <f aca="false">IF((COUNTIFS(Inputs!$Q$2:$Q$156,"A05|"&amp;$A2,Inputs!$I$2:$I$156,"&lt;&gt;"))*(COUNTIFS(Inputs!$Q$2:$Q$156,"A06|"&amp;$A2,Inputs!$I$2:$I$156,"&lt;&gt;"))*(COUNTIFS(Inputs!$Q$2:$Q$156,"A07|"&amp;$A2,Inputs!$I$2:$I$156,"&lt;&gt;"))=0,"PENDING",IF(ABS(SUMIFS(Inputs!$J$2:$J$156,Inputs!$Q$2:$Q$156,"A06|"&amp;$A2)/SUMIFS(Inputs!$J$2:$J$156,Inputs!$Q$2:$Q$156,"A05|"&amp;$A2)*100-SUMIFS(Inputs!$J$2:$J$156,Inputs!$Q$2:$Q$156,"A07|"&amp;$A2))&lt;=0.2,"OK","CHECK"))</f>
        <v>OK</v>
      </c>
      <c r="D2" s="3" t="str">
        <f aca="false">"N/A (A11 derived)"</f>
        <v>N/A (A11 derived)</v>
      </c>
      <c r="E2" s="3" t="str">
        <f aca="false">IF((COUNTIFS(Inputs!$Q$2:$Q$156,"A03|"&amp;$A2,Inputs!$I$2:$I$156,"&lt;&gt;"))*(COUNTIFS(Inputs!$Q$2:$Q$156,"A02|"&amp;$A2,Inputs!$I$2:$I$156,"&lt;&gt;"))*(COUNTIFS(Inputs!$Q$2:$Q$156,"A12|"&amp;$A2,Inputs!$I$2:$I$156,"&lt;&gt;"))=0,"PENDING",IF(ABS(SUMIFS(Inputs!$J$2:$J$156,Inputs!$Q$2:$Q$156,"A03|"&amp;$A2)-SUMIFS(Inputs!$J$2:$J$156,Inputs!$Q$2:$Q$156,"A02|"&amp;$A2)-SUMIFS(Inputs!$J$2:$J$156,Inputs!$Q$2:$Q$156,"A12|"&amp;$A2))&lt;=60,"OK","CHECK"))</f>
        <v>OK</v>
      </c>
      <c r="F2" s="3" t="str">
        <f aca="false">IF((COUNTIFS(Inputs!$Q$2:$Q$156,"A03|"&amp;$A2,Inputs!$I$2:$I$156,"&lt;&gt;"))*(COUNTIFS(Inputs!$Q$2:$Q$156,"A01|"&amp;$A2,Inputs!$I$2:$I$156,"&lt;&gt;"))*(COUNTIFS(Inputs!$Q$2:$Q$156,"A04|"&amp;$A2,Inputs!$I$2:$I$156,"&lt;&gt;"))=0,"PENDING",IF(ABS(SUMIFS(Inputs!$J$2:$J$156,Inputs!$Q$2:$Q$156,"A03|"&amp;$A2)/SUMIFS(Inputs!$J$2:$J$156,Inputs!$Q$2:$Q$156,"A01|"&amp;$A2)*100-SUMIFS(Inputs!$J$2:$J$156,Inputs!$Q$2:$Q$156,"A04|"&amp;$A2))&lt;=0.15,"OK","CHECK"))</f>
        <v>OK</v>
      </c>
      <c r="G2" s="3" t="str">
        <f aca="false">IF((COUNTIFS(Inputs!$Q$2:$Q$156,"A01|"&amp;$A2,Inputs!$I$2:$I$156,"&lt;&gt;"))*(COUNTIFS(Inputs!$Q$2:$Q$156,"O06|"&amp;$A2,Inputs!$I$2:$I$156,"&lt;&gt;"))=0,IF(COUNTIFS(Inputs!$Q$2:$Q$156,"O06|"&amp;$A2,Inputs!$I$2:$I$156,"",Inputs!$P$2:$P$156,"&lt;&gt;")&gt;0,"N/A (blank - see Inputs note)","PENDING"),IF(ABS(SUMIFS(Inputs!$J$2:$J$156,Inputs!$Q$2:$Q$156,"A01|"&amp;$A2)*1000/INDEX(FS_Reference!$D$2:$D$10,MATCH($A2,FS_Reference!$A$2:$A$10,0))-SUMIFS(Inputs!$J$2:$J$156,Inputs!$Q$2:$Q$156,"O06|"&amp;$A2))&lt;=1.5,"OK","CHECK"))</f>
        <v>OK</v>
      </c>
      <c r="H2" s="3" t="str">
        <f aca="false">"N/A (bridge is qualitative)"</f>
        <v>N/A (bridge is qualitative)</v>
      </c>
      <c r="I2" s="3" t="str">
        <f aca="false">"N/A (bridge is qualitative)"</f>
        <v>N/A (bridge is qualitative)</v>
      </c>
      <c r="J2" s="3" t="str">
        <f aca="false">"N/A (bridge is qualitative)"</f>
        <v>N/A (bridge is qualitative)</v>
      </c>
      <c r="K2" s="3" t="str">
        <f aca="false">"N/A (bridge is qualitative)"</f>
        <v>N/A (bridge is qualitative)</v>
      </c>
      <c r="L2" s="3" t="n">
        <v>50</v>
      </c>
      <c r="M2" s="3" t="n">
        <f aca="false">COUNTIFS(Inputs!$D$2:$D$156,$A2,Inputs!$I$2:$I$156,"&lt;&gt;")</f>
        <v>16</v>
      </c>
      <c r="N2" s="3" t="n">
        <f aca="false">COUNTIFS(Inputs!$D$2:$D$156,$A2,Inputs!$I$2:$I$156,"",Inputs!$P$2:$P$156,"&lt;&gt;")</f>
        <v>0</v>
      </c>
      <c r="O2" s="3" t="n">
        <f aca="false">COUNTIFS(Inputs!$D$2:$D$156,$A2)</f>
        <v>16</v>
      </c>
    </row>
    <row r="3" customFormat="false" ht="15" hidden="false" customHeight="true" outlineLevel="0" collapsed="false">
      <c r="A3" s="2" t="s">
        <v>56</v>
      </c>
      <c r="B3" s="3" t="str">
        <f aca="false">IF((COUNTIFS(Inputs!$Q$2:$Q$156,"A05|"&amp;$A3,Inputs!$I$2:$I$156,"&lt;&gt;"))*(COUNTIFS(Inputs!$Q$2:$Q$156,"A06|"&amp;$A3,Inputs!$I$2:$I$156,"&lt;&gt;"))*(COUNTIFS(Inputs!$Q$2:$Q$156,"A08|"&amp;$A3,Inputs!$I$2:$I$156,"&lt;&gt;"))=0,"PENDING",IF(ABS(SUMIFS(Inputs!$J$2:$J$156,Inputs!$Q$2:$Q$156,"A05|"&amp;$A3)-SUMIFS(Inputs!$J$2:$J$156,Inputs!$Q$2:$Q$156,"A06|"&amp;$A3)-SUMIFS(Inputs!$J$2:$J$156,Inputs!$Q$2:$Q$156,"A08|"&amp;$A3))&lt;=2,"OK","CHECK"))</f>
        <v>OK</v>
      </c>
      <c r="C3" s="3" t="str">
        <f aca="false">IF((COUNTIFS(Inputs!$Q$2:$Q$156,"A05|"&amp;$A3,Inputs!$I$2:$I$156,"&lt;&gt;"))*(COUNTIFS(Inputs!$Q$2:$Q$156,"A06|"&amp;$A3,Inputs!$I$2:$I$156,"&lt;&gt;"))*(COUNTIFS(Inputs!$Q$2:$Q$156,"A07|"&amp;$A3,Inputs!$I$2:$I$156,"&lt;&gt;"))=0,"PENDING",IF(ABS(SUMIFS(Inputs!$J$2:$J$156,Inputs!$Q$2:$Q$156,"A06|"&amp;$A3)/SUMIFS(Inputs!$J$2:$J$156,Inputs!$Q$2:$Q$156,"A05|"&amp;$A3)*100-SUMIFS(Inputs!$J$2:$J$156,Inputs!$Q$2:$Q$156,"A07|"&amp;$A3))&lt;=0.2,"OK","CHECK"))</f>
        <v>OK</v>
      </c>
      <c r="D3" s="3" t="str">
        <f aca="false">IF((COUNTIFS(Inputs!$Q$2:$Q$156,"A12|"&amp;$A3,Inputs!$I$2:$I$156,"&lt;&gt;"))*(COUNTIFS(Inputs!$Q$2:$Q$156,"A09|"&amp;$A3,Inputs!$I$2:$I$156,"&lt;&gt;"))*(COUNTIFS(Inputs!$Q$2:$Q$156,"A11|"&amp;$A3,Inputs!$I$2:$I$156,"&lt;&gt;"))=0,"PENDING",IF(ABS(SUMIFS(Inputs!$J$2:$J$156,Inputs!$Q$2:$Q$156,"A12|"&amp;$A3)-SUMIFS(Inputs!$J$2:$J$156,Inputs!$Q$2:$Q$156,"A09|"&amp;$A3)-SUMIFS(Inputs!$J$2:$J$156,Inputs!$Q$2:$Q$156,"A11|"&amp;$A3))&lt;=2,"OK","CHECK"))</f>
        <v>OK</v>
      </c>
      <c r="E3" s="3" t="str">
        <f aca="false">IF((COUNTIFS(Inputs!$Q$2:$Q$156,"A03|"&amp;$A3,Inputs!$I$2:$I$156,"&lt;&gt;"))*(COUNTIFS(Inputs!$Q$2:$Q$156,"A02|"&amp;$A3,Inputs!$I$2:$I$156,"&lt;&gt;"))*(COUNTIFS(Inputs!$Q$2:$Q$156,"A12|"&amp;$A3,Inputs!$I$2:$I$156,"&lt;&gt;"))=0,"PENDING",IF(ABS(SUMIFS(Inputs!$J$2:$J$156,Inputs!$Q$2:$Q$156,"A03|"&amp;$A3)-SUMIFS(Inputs!$J$2:$J$156,Inputs!$Q$2:$Q$156,"A02|"&amp;$A3)-SUMIFS(Inputs!$J$2:$J$156,Inputs!$Q$2:$Q$156,"A12|"&amp;$A3))&lt;=60,"OK","CHECK"))</f>
        <v>OK</v>
      </c>
      <c r="F3" s="3" t="str">
        <f aca="false">IF((COUNTIFS(Inputs!$Q$2:$Q$156,"A03|"&amp;$A3,Inputs!$I$2:$I$156,"&lt;&gt;"))*(COUNTIFS(Inputs!$Q$2:$Q$156,"A01|"&amp;$A3,Inputs!$I$2:$I$156,"&lt;&gt;"))*(COUNTIFS(Inputs!$Q$2:$Q$156,"A04|"&amp;$A3,Inputs!$I$2:$I$156,"&lt;&gt;"))=0,"PENDING",IF(ABS(SUMIFS(Inputs!$J$2:$J$156,Inputs!$Q$2:$Q$156,"A03|"&amp;$A3)/SUMIFS(Inputs!$J$2:$J$156,Inputs!$Q$2:$Q$156,"A01|"&amp;$A3)*100-SUMIFS(Inputs!$J$2:$J$156,Inputs!$Q$2:$Q$156,"A04|"&amp;$A3))&lt;=0.15,"OK","CHECK"))</f>
        <v>OK</v>
      </c>
      <c r="G3" s="3" t="str">
        <f aca="false">IF((COUNTIFS(Inputs!$Q$2:$Q$156,"A01|"&amp;$A3,Inputs!$I$2:$I$156,"&lt;&gt;"))*(COUNTIFS(Inputs!$Q$2:$Q$156,"O06|"&amp;$A3,Inputs!$I$2:$I$156,"&lt;&gt;"))=0,IF(COUNTIFS(Inputs!$Q$2:$Q$156,"O06|"&amp;$A3,Inputs!$I$2:$I$156,"",Inputs!$P$2:$P$156,"&lt;&gt;")&gt;0,"N/A (blank - see Inputs note)","PENDING"),IF(ABS(SUMIFS(Inputs!$J$2:$J$156,Inputs!$Q$2:$Q$156,"A01|"&amp;$A3)*1000/INDEX(FS_Reference!$D$2:$D$10,MATCH($A3,FS_Reference!$A$2:$A$10,0))-SUMIFS(Inputs!$J$2:$J$156,Inputs!$Q$2:$Q$156,"O06|"&amp;$A3))&lt;=1.5,"OK","CHECK"))</f>
        <v>OK</v>
      </c>
      <c r="H3" s="3" t="str">
        <f aca="false">IF((COUNTIFS(Inputs!$Q$2:$Q$156,"B01|"&amp;$A3,Inputs!$I$2:$I$156,"&lt;&gt;"))*(COUNTIFS(Inputs!$Q$2:$Q$156,"B02|"&amp;$A3,Inputs!$I$2:$I$156,"&lt;&gt;"))*(COUNTIFS(Inputs!$Q$2:$Q$156,"B03|"&amp;$A3,Inputs!$I$2:$I$156,"&lt;&gt;"))*(COUNTIFS(Inputs!$Q$2:$Q$156,"B04|"&amp;$A3,Inputs!$I$2:$I$156,"&lt;&gt;"))=0,"PENDING",IF(ABS(INDEX(FS_Reference!$C$2:$C$10,MATCH("FY_2022",FS_Reference!$A$2:$A$10,0))+SUMIFS(Inputs!$J$2:$J$156,Inputs!$Q$2:$Q$156,"B01|"&amp;$A3)+SUMIFS(Inputs!$J$2:$J$156,Inputs!$Q$2:$Q$156,"B02|"&amp;$A3)+SUMIFS(Inputs!$J$2:$J$156,Inputs!$Q$2:$Q$156,"B03|"&amp;$A3)+SUMIFS(Inputs!$J$2:$J$156,Inputs!$Q$2:$Q$156,"B04|"&amp;$A3)-INDEX(FS_Reference!$C$2:$C$10,MATCH($A3,FS_Reference!$A$2:$A$10,0)))&lt;=$L3,"OK","CHECK"))</f>
        <v>OK</v>
      </c>
      <c r="I3" s="3" t="str">
        <f aca="false">IF(COUNTIFS(Inputs!$Q$2:$Q$156,"B03|"&amp;$A3,Inputs!$I$2:$I$156,"&lt;&gt;")=0,"PENDING",IF(ABS(INDEX(FS_Reference!$H$2:$H$10,MATCH($A3,FS_Reference!$A$2:$A$10,0))-INDEX(FS_Reference!$H$2:$H$10,MATCH("FY_2022",FS_Reference!$A$2:$A$10,0))-SUMIFS(Inputs!$J$2:$J$156,Inputs!$Q$2:$Q$156,"B03|"&amp;$A3))&lt;=$L3/2,"OK","CHECK"))</f>
        <v>OK</v>
      </c>
      <c r="J3" s="3" t="str">
        <f aca="false">IF(COUNTIFS(Inputs!$Q$2:$Q$156,"B04|"&amp;$A3,Inputs!$I$2:$I$156,"&lt;&gt;")=0,"PENDING",IF(ABS(INDEX(FS_Reference!$I$2:$I$10,MATCH($A3,FS_Reference!$A$2:$A$10,0))-INDEX(FS_Reference!$I$2:$I$10,MATCH("FY_2022",FS_Reference!$A$2:$A$10,0))-SUMIFS(Inputs!$J$2:$J$156,Inputs!$Q$2:$Q$156,"B04|"&amp;$A3))&lt;=$L3/2,"OK","CHECK"))</f>
        <v>OK</v>
      </c>
      <c r="K3" s="3" t="str">
        <f aca="false">IF((COUNTIFS(Inputs!$Q$2:$Q$156,"B01|"&amp;$A3,Inputs!$I$2:$I$156,"&lt;&gt;"))*(COUNTIFS(Inputs!$Q$2:$Q$156,"B02|"&amp;$A3,Inputs!$I$2:$I$156,"&lt;&gt;"))=0,"PENDING",IF(ABS(INDEX(FS_Reference!$G$2:$G$10,MATCH($A3,FS_Reference!$A$2:$A$10,0))-INDEX(FS_Reference!$G$2:$G$10,MATCH("FY_2022",FS_Reference!$A$2:$A$10,0))-SUMIFS(Inputs!$J$2:$J$156,Inputs!$Q$2:$Q$156,"B01|"&amp;$A3)-SUMIFS(Inputs!$J$2:$J$156,Inputs!$Q$2:$Q$156,"B02|"&amp;$A3))&lt;=$L3,"OK","CHECK"))</f>
        <v>OK</v>
      </c>
      <c r="L3" s="3" t="n">
        <v>250</v>
      </c>
      <c r="M3" s="3" t="n">
        <f aca="false">COUNTIFS(Inputs!$D$2:$D$156,$A3,Inputs!$I$2:$I$156,"&lt;&gt;")</f>
        <v>21</v>
      </c>
      <c r="N3" s="3" t="n">
        <f aca="false">COUNTIFS(Inputs!$D$2:$D$156,$A3,Inputs!$I$2:$I$156,"",Inputs!$P$2:$P$156,"&lt;&gt;")</f>
        <v>0</v>
      </c>
      <c r="O3" s="3" t="n">
        <f aca="false">COUNTIFS(Inputs!$D$2:$D$156,$A3)</f>
        <v>21</v>
      </c>
    </row>
    <row r="4" customFormat="false" ht="15" hidden="false" customHeight="true" outlineLevel="0" collapsed="false">
      <c r="A4" s="2" t="s">
        <v>61</v>
      </c>
      <c r="B4" s="3" t="str">
        <f aca="false">IF((COUNTIFS(Inputs!$Q$2:$Q$156,"A05|"&amp;$A4,Inputs!$I$2:$I$156,"&lt;&gt;"))*(COUNTIFS(Inputs!$Q$2:$Q$156,"A06|"&amp;$A4,Inputs!$I$2:$I$156,"&lt;&gt;"))*(COUNTIFS(Inputs!$Q$2:$Q$156,"A08|"&amp;$A4,Inputs!$I$2:$I$156,"&lt;&gt;"))=0,"PENDING",IF(ABS(SUMIFS(Inputs!$J$2:$J$156,Inputs!$Q$2:$Q$156,"A05|"&amp;$A4)-SUMIFS(Inputs!$J$2:$J$156,Inputs!$Q$2:$Q$156,"A06|"&amp;$A4)-SUMIFS(Inputs!$J$2:$J$156,Inputs!$Q$2:$Q$156,"A08|"&amp;$A4))&lt;=2,"OK","CHECK"))</f>
        <v>OK</v>
      </c>
      <c r="C4" s="3" t="str">
        <f aca="false">IF((COUNTIFS(Inputs!$Q$2:$Q$156,"A05|"&amp;$A4,Inputs!$I$2:$I$156,"&lt;&gt;"))*(COUNTIFS(Inputs!$Q$2:$Q$156,"A06|"&amp;$A4,Inputs!$I$2:$I$156,"&lt;&gt;"))*(COUNTIFS(Inputs!$Q$2:$Q$156,"A07|"&amp;$A4,Inputs!$I$2:$I$156,"&lt;&gt;"))=0,"PENDING",IF(ABS(SUMIFS(Inputs!$J$2:$J$156,Inputs!$Q$2:$Q$156,"A06|"&amp;$A4)/SUMIFS(Inputs!$J$2:$J$156,Inputs!$Q$2:$Q$156,"A05|"&amp;$A4)*100-SUMIFS(Inputs!$J$2:$J$156,Inputs!$Q$2:$Q$156,"A07|"&amp;$A4))&lt;=0.2,"OK","CHECK"))</f>
        <v>OK</v>
      </c>
      <c r="D4" s="3" t="str">
        <f aca="false">IF((COUNTIFS(Inputs!$Q$2:$Q$156,"A12|"&amp;$A4,Inputs!$I$2:$I$156,"&lt;&gt;"))*(COUNTIFS(Inputs!$Q$2:$Q$156,"A09|"&amp;$A4,Inputs!$I$2:$I$156,"&lt;&gt;"))*(COUNTIFS(Inputs!$Q$2:$Q$156,"A11|"&amp;$A4,Inputs!$I$2:$I$156,"&lt;&gt;"))=0,"PENDING",IF(ABS(SUMIFS(Inputs!$J$2:$J$156,Inputs!$Q$2:$Q$156,"A12|"&amp;$A4)-SUMIFS(Inputs!$J$2:$J$156,Inputs!$Q$2:$Q$156,"A09|"&amp;$A4)-SUMIFS(Inputs!$J$2:$J$156,Inputs!$Q$2:$Q$156,"A11|"&amp;$A4))&lt;=2,"OK","CHECK"))</f>
        <v>OK</v>
      </c>
      <c r="E4" s="3" t="str">
        <f aca="false">IF((COUNTIFS(Inputs!$Q$2:$Q$156,"A03|"&amp;$A4,Inputs!$I$2:$I$156,"&lt;&gt;"))*(COUNTIFS(Inputs!$Q$2:$Q$156,"A02|"&amp;$A4,Inputs!$I$2:$I$156,"&lt;&gt;"))*(COUNTIFS(Inputs!$Q$2:$Q$156,"A12|"&amp;$A4,Inputs!$I$2:$I$156,"&lt;&gt;"))=0,"PENDING",IF(ABS(SUMIFS(Inputs!$J$2:$J$156,Inputs!$Q$2:$Q$156,"A03|"&amp;$A4)-SUMIFS(Inputs!$J$2:$J$156,Inputs!$Q$2:$Q$156,"A02|"&amp;$A4)-SUMIFS(Inputs!$J$2:$J$156,Inputs!$Q$2:$Q$156,"A12|"&amp;$A4))&lt;=60,"OK","CHECK"))</f>
        <v>OK</v>
      </c>
      <c r="F4" s="3" t="str">
        <f aca="false">IF((COUNTIFS(Inputs!$Q$2:$Q$156,"A03|"&amp;$A4,Inputs!$I$2:$I$156,"&lt;&gt;"))*(COUNTIFS(Inputs!$Q$2:$Q$156,"A01|"&amp;$A4,Inputs!$I$2:$I$156,"&lt;&gt;"))*(COUNTIFS(Inputs!$Q$2:$Q$156,"A04|"&amp;$A4,Inputs!$I$2:$I$156,"&lt;&gt;"))=0,"PENDING",IF(ABS(SUMIFS(Inputs!$J$2:$J$156,Inputs!$Q$2:$Q$156,"A03|"&amp;$A4)/SUMIFS(Inputs!$J$2:$J$156,Inputs!$Q$2:$Q$156,"A01|"&amp;$A4)*100-SUMIFS(Inputs!$J$2:$J$156,Inputs!$Q$2:$Q$156,"A04|"&amp;$A4))&lt;=0.15,"OK","CHECK"))</f>
        <v>OK</v>
      </c>
      <c r="G4" s="3" t="str">
        <f aca="false">IF((COUNTIFS(Inputs!$Q$2:$Q$156,"A01|"&amp;$A4,Inputs!$I$2:$I$156,"&lt;&gt;"))*(COUNTIFS(Inputs!$Q$2:$Q$156,"O06|"&amp;$A4,Inputs!$I$2:$I$156,"&lt;&gt;"))=0,IF(COUNTIFS(Inputs!$Q$2:$Q$156,"O06|"&amp;$A4,Inputs!$I$2:$I$156,"",Inputs!$P$2:$P$156,"&lt;&gt;")&gt;0,"N/A (blank - see Inputs note)","PENDING"),IF(ABS(SUMIFS(Inputs!$J$2:$J$156,Inputs!$Q$2:$Q$156,"A01|"&amp;$A4)*1000/INDEX(FS_Reference!$D$2:$D$10,MATCH($A4,FS_Reference!$A$2:$A$10,0))-SUMIFS(Inputs!$J$2:$J$156,Inputs!$Q$2:$Q$156,"O06|"&amp;$A4))&lt;=1.5,"OK","CHECK"))</f>
        <v>OK</v>
      </c>
      <c r="H4" s="3" t="str">
        <f aca="false">IF((COUNTIFS(Inputs!$Q$2:$Q$156,"B01|"&amp;$A4,Inputs!$I$2:$I$156,"&lt;&gt;"))*(COUNTIFS(Inputs!$Q$2:$Q$156,"B02|"&amp;$A4,Inputs!$I$2:$I$156,"&lt;&gt;"))*(COUNTIFS(Inputs!$Q$2:$Q$156,"B03|"&amp;$A4,Inputs!$I$2:$I$156,"&lt;&gt;"))*(COUNTIFS(Inputs!$Q$2:$Q$156,"B04|"&amp;$A4,Inputs!$I$2:$I$156,"&lt;&gt;"))=0,"PENDING",IF(ABS(INDEX(FS_Reference!$C$2:$C$10,MATCH("H1_2023",FS_Reference!$A$2:$A$10,0))+SUMIFS(Inputs!$J$2:$J$156,Inputs!$Q$2:$Q$156,"B01|"&amp;$A4)+SUMIFS(Inputs!$J$2:$J$156,Inputs!$Q$2:$Q$156,"B02|"&amp;$A4)+SUMIFS(Inputs!$J$2:$J$156,Inputs!$Q$2:$Q$156,"B03|"&amp;$A4)+SUMIFS(Inputs!$J$2:$J$156,Inputs!$Q$2:$Q$156,"B04|"&amp;$A4)-INDEX(FS_Reference!$C$2:$C$10,MATCH($A4,FS_Reference!$A$2:$A$10,0)))&lt;=$L4,"OK","CHECK"))</f>
        <v>OK</v>
      </c>
      <c r="I4" s="3" t="str">
        <f aca="false">IF(COUNTIFS(Inputs!$Q$2:$Q$156,"B03|"&amp;$A4,Inputs!$I$2:$I$156,"&lt;&gt;")=0,"PENDING",IF(ABS(INDEX(FS_Reference!$H$2:$H$10,MATCH($A4,FS_Reference!$A$2:$A$10,0))-INDEX(FS_Reference!$H$2:$H$10,MATCH("H1_2023",FS_Reference!$A$2:$A$10,0))-SUMIFS(Inputs!$J$2:$J$156,Inputs!$Q$2:$Q$156,"B03|"&amp;$A4))&lt;=$L4/2,"OK","CHECK"))</f>
        <v>OK</v>
      </c>
      <c r="J4" s="3" t="str">
        <f aca="false">IF(COUNTIFS(Inputs!$Q$2:$Q$156,"B04|"&amp;$A4,Inputs!$I$2:$I$156,"&lt;&gt;")=0,"PENDING",IF(ABS(INDEX(FS_Reference!$I$2:$I$10,MATCH($A4,FS_Reference!$A$2:$A$10,0))-INDEX(FS_Reference!$I$2:$I$10,MATCH("H1_2023",FS_Reference!$A$2:$A$10,0))-SUMIFS(Inputs!$J$2:$J$156,Inputs!$Q$2:$Q$156,"B04|"&amp;$A4))&lt;=$L4/2,"OK","CHECK"))</f>
        <v>OK</v>
      </c>
      <c r="K4" s="3" t="str">
        <f aca="false">IF((COUNTIFS(Inputs!$Q$2:$Q$156,"B01|"&amp;$A4,Inputs!$I$2:$I$156,"&lt;&gt;"))*(COUNTIFS(Inputs!$Q$2:$Q$156,"B02|"&amp;$A4,Inputs!$I$2:$I$156,"&lt;&gt;"))=0,"PENDING",IF(ABS(INDEX(FS_Reference!$G$2:$G$10,MATCH($A4,FS_Reference!$A$2:$A$10,0))-INDEX(FS_Reference!$G$2:$G$10,MATCH("H1_2023",FS_Reference!$A$2:$A$10,0))-SUMIFS(Inputs!$J$2:$J$156,Inputs!$Q$2:$Q$156,"B01|"&amp;$A4)-SUMIFS(Inputs!$J$2:$J$156,Inputs!$Q$2:$Q$156,"B02|"&amp;$A4))&lt;=$L4,"OK","CHECK"))</f>
        <v>OK</v>
      </c>
      <c r="L4" s="3" t="n">
        <v>50</v>
      </c>
      <c r="M4" s="3" t="n">
        <f aca="false">COUNTIFS(Inputs!$D$2:$D$156,$A4,Inputs!$I$2:$I$156,"&lt;&gt;")</f>
        <v>21</v>
      </c>
      <c r="N4" s="3" t="n">
        <f aca="false">COUNTIFS(Inputs!$D$2:$D$156,$A4,Inputs!$I$2:$I$156,"",Inputs!$P$2:$P$156,"&lt;&gt;")</f>
        <v>0</v>
      </c>
      <c r="O4" s="3" t="n">
        <f aca="false">COUNTIFS(Inputs!$D$2:$D$156,$A4)</f>
        <v>21</v>
      </c>
    </row>
    <row r="5" customFormat="false" ht="15" hidden="false" customHeight="true" outlineLevel="0" collapsed="false">
      <c r="A5" s="2" t="s">
        <v>66</v>
      </c>
      <c r="B5" s="3" t="str">
        <f aca="false">IF((COUNTIFS(Inputs!$Q$2:$Q$156,"A05|"&amp;$A5,Inputs!$I$2:$I$156,"&lt;&gt;"))*(COUNTIFS(Inputs!$Q$2:$Q$156,"A06|"&amp;$A5,Inputs!$I$2:$I$156,"&lt;&gt;"))*(COUNTIFS(Inputs!$Q$2:$Q$156,"A08|"&amp;$A5,Inputs!$I$2:$I$156,"&lt;&gt;"))=0,"PENDING",IF(ABS(SUMIFS(Inputs!$J$2:$J$156,Inputs!$Q$2:$Q$156,"A05|"&amp;$A5)-SUMIFS(Inputs!$J$2:$J$156,Inputs!$Q$2:$Q$156,"A06|"&amp;$A5)-SUMIFS(Inputs!$J$2:$J$156,Inputs!$Q$2:$Q$156,"A08|"&amp;$A5))&lt;=2,"OK","CHECK"))</f>
        <v>OK</v>
      </c>
      <c r="C5" s="3" t="str">
        <f aca="false">IF((COUNTIFS(Inputs!$Q$2:$Q$156,"A05|"&amp;$A5,Inputs!$I$2:$I$156,"&lt;&gt;"))*(COUNTIFS(Inputs!$Q$2:$Q$156,"A06|"&amp;$A5,Inputs!$I$2:$I$156,"&lt;&gt;"))*(COUNTIFS(Inputs!$Q$2:$Q$156,"A07|"&amp;$A5,Inputs!$I$2:$I$156,"&lt;&gt;"))=0,"PENDING",IF(ABS(SUMIFS(Inputs!$J$2:$J$156,Inputs!$Q$2:$Q$156,"A06|"&amp;$A5)/SUMIFS(Inputs!$J$2:$J$156,Inputs!$Q$2:$Q$156,"A05|"&amp;$A5)*100-SUMIFS(Inputs!$J$2:$J$156,Inputs!$Q$2:$Q$156,"A07|"&amp;$A5))&lt;=0.2,"OK","CHECK"))</f>
        <v>OK</v>
      </c>
      <c r="D5" s="3" t="str">
        <f aca="false">IF((COUNTIFS(Inputs!$Q$2:$Q$156,"A12|"&amp;$A5,Inputs!$I$2:$I$156,"&lt;&gt;"))*(COUNTIFS(Inputs!$Q$2:$Q$156,"A09|"&amp;$A5,Inputs!$I$2:$I$156,"&lt;&gt;"))*(COUNTIFS(Inputs!$Q$2:$Q$156,"A11|"&amp;$A5,Inputs!$I$2:$I$156,"&lt;&gt;"))=0,"PENDING",IF(ABS(SUMIFS(Inputs!$J$2:$J$156,Inputs!$Q$2:$Q$156,"A12|"&amp;$A5)-SUMIFS(Inputs!$J$2:$J$156,Inputs!$Q$2:$Q$156,"A09|"&amp;$A5)-SUMIFS(Inputs!$J$2:$J$156,Inputs!$Q$2:$Q$156,"A11|"&amp;$A5))&lt;=2,"OK","CHECK"))</f>
        <v>OK</v>
      </c>
      <c r="E5" s="3" t="str">
        <f aca="false">IF((COUNTIFS(Inputs!$Q$2:$Q$156,"A03|"&amp;$A5,Inputs!$I$2:$I$156,"&lt;&gt;"))*(COUNTIFS(Inputs!$Q$2:$Q$156,"A02|"&amp;$A5,Inputs!$I$2:$I$156,"&lt;&gt;"))*(COUNTIFS(Inputs!$Q$2:$Q$156,"A12|"&amp;$A5,Inputs!$I$2:$I$156,"&lt;&gt;"))=0,"PENDING",IF(ABS(SUMIFS(Inputs!$J$2:$J$156,Inputs!$Q$2:$Q$156,"A03|"&amp;$A5)-SUMIFS(Inputs!$J$2:$J$156,Inputs!$Q$2:$Q$156,"A02|"&amp;$A5)-SUMIFS(Inputs!$J$2:$J$156,Inputs!$Q$2:$Q$156,"A12|"&amp;$A5))&lt;=60,"OK","CHECK"))</f>
        <v>OK</v>
      </c>
      <c r="F5" s="3" t="str">
        <f aca="false">IF((COUNTIFS(Inputs!$Q$2:$Q$156,"A03|"&amp;$A5,Inputs!$I$2:$I$156,"&lt;&gt;"))*(COUNTIFS(Inputs!$Q$2:$Q$156,"A01|"&amp;$A5,Inputs!$I$2:$I$156,"&lt;&gt;"))*(COUNTIFS(Inputs!$Q$2:$Q$156,"A04|"&amp;$A5,Inputs!$I$2:$I$156,"&lt;&gt;"))=0,"PENDING",IF(ABS(SUMIFS(Inputs!$J$2:$J$156,Inputs!$Q$2:$Q$156,"A03|"&amp;$A5)/SUMIFS(Inputs!$J$2:$J$156,Inputs!$Q$2:$Q$156,"A01|"&amp;$A5)*100-SUMIFS(Inputs!$J$2:$J$156,Inputs!$Q$2:$Q$156,"A04|"&amp;$A5))&lt;=0.15,"OK","CHECK"))</f>
        <v>OK</v>
      </c>
      <c r="G5" s="3" t="str">
        <f aca="false">IF((COUNTIFS(Inputs!$Q$2:$Q$156,"A01|"&amp;$A5,Inputs!$I$2:$I$156,"&lt;&gt;"))*(COUNTIFS(Inputs!$Q$2:$Q$156,"O06|"&amp;$A5,Inputs!$I$2:$I$156,"&lt;&gt;"))=0,IF(COUNTIFS(Inputs!$Q$2:$Q$156,"O06|"&amp;$A5,Inputs!$I$2:$I$156,"",Inputs!$P$2:$P$156,"&lt;&gt;")&gt;0,"N/A (blank - see Inputs note)","PENDING"),IF(ABS(SUMIFS(Inputs!$J$2:$J$156,Inputs!$Q$2:$Q$156,"A01|"&amp;$A5)*1000/INDEX(FS_Reference!$D$2:$D$10,MATCH($A5,FS_Reference!$A$2:$A$10,0))-SUMIFS(Inputs!$J$2:$J$156,Inputs!$Q$2:$Q$156,"O06|"&amp;$A5))&lt;=1.5,"OK","CHECK"))</f>
        <v>OK</v>
      </c>
      <c r="H5" s="3" t="str">
        <f aca="false">IF((COUNTIFS(Inputs!$Q$2:$Q$156,"B01|"&amp;$A5,Inputs!$I$2:$I$156,"&lt;&gt;"))*(COUNTIFS(Inputs!$Q$2:$Q$156,"B02|"&amp;$A5,Inputs!$I$2:$I$156,"&lt;&gt;"))*(COUNTIFS(Inputs!$Q$2:$Q$156,"B03|"&amp;$A5,Inputs!$I$2:$I$156,"&lt;&gt;"))*(COUNTIFS(Inputs!$Q$2:$Q$156,"B04|"&amp;$A5,Inputs!$I$2:$I$156,"&lt;&gt;"))=0,"PENDING",IF(ABS(INDEX(FS_Reference!$C$2:$C$10,MATCH("FY_2023",FS_Reference!$A$2:$A$10,0))+SUMIFS(Inputs!$J$2:$J$156,Inputs!$Q$2:$Q$156,"B01|"&amp;$A5)+SUMIFS(Inputs!$J$2:$J$156,Inputs!$Q$2:$Q$156,"B02|"&amp;$A5)+SUMIFS(Inputs!$J$2:$J$156,Inputs!$Q$2:$Q$156,"B03|"&amp;$A5)+SUMIFS(Inputs!$J$2:$J$156,Inputs!$Q$2:$Q$156,"B04|"&amp;$A5)-INDEX(FS_Reference!$C$2:$C$10,MATCH($A5,FS_Reference!$A$2:$A$10,0)))&lt;=$L5,"OK","CHECK"))</f>
        <v>OK</v>
      </c>
      <c r="I5" s="3" t="str">
        <f aca="false">IF(COUNTIFS(Inputs!$Q$2:$Q$156,"B03|"&amp;$A5,Inputs!$I$2:$I$156,"&lt;&gt;")=0,"PENDING",IF(ABS(INDEX(FS_Reference!$H$2:$H$10,MATCH($A5,FS_Reference!$A$2:$A$10,0))-INDEX(FS_Reference!$H$2:$H$10,MATCH("FY_2023",FS_Reference!$A$2:$A$10,0))-SUMIFS(Inputs!$J$2:$J$156,Inputs!$Q$2:$Q$156,"B03|"&amp;$A5))&lt;=$L5/2,"OK","CHECK"))</f>
        <v>OK</v>
      </c>
      <c r="J5" s="3" t="str">
        <f aca="false">IF(COUNTIFS(Inputs!$Q$2:$Q$156,"B04|"&amp;$A5,Inputs!$I$2:$I$156,"&lt;&gt;")=0,"PENDING",IF(ABS(INDEX(FS_Reference!$I$2:$I$10,MATCH($A5,FS_Reference!$A$2:$A$10,0))-INDEX(FS_Reference!$I$2:$I$10,MATCH("FY_2023",FS_Reference!$A$2:$A$10,0))-SUMIFS(Inputs!$J$2:$J$156,Inputs!$Q$2:$Q$156,"B04|"&amp;$A5))&lt;=$L5/2,"OK","CHECK"))</f>
        <v>OK</v>
      </c>
      <c r="K5" s="3" t="str">
        <f aca="false">IF((COUNTIFS(Inputs!$Q$2:$Q$156,"B01|"&amp;$A5,Inputs!$I$2:$I$156,"&lt;&gt;"))*(COUNTIFS(Inputs!$Q$2:$Q$156,"B02|"&amp;$A5,Inputs!$I$2:$I$156,"&lt;&gt;"))=0,"PENDING",IF(ABS(INDEX(FS_Reference!$G$2:$G$10,MATCH($A5,FS_Reference!$A$2:$A$10,0))-INDEX(FS_Reference!$G$2:$G$10,MATCH("FY_2023",FS_Reference!$A$2:$A$10,0))-SUMIFS(Inputs!$J$2:$J$156,Inputs!$Q$2:$Q$156,"B01|"&amp;$A5)-SUMIFS(Inputs!$J$2:$J$156,Inputs!$Q$2:$Q$156,"B02|"&amp;$A5))&lt;=$L5,"OK","CHECK"))</f>
        <v>OK</v>
      </c>
      <c r="L5" s="3" t="n">
        <v>250</v>
      </c>
      <c r="M5" s="3" t="n">
        <f aca="false">COUNTIFS(Inputs!$D$2:$D$156,$A5,Inputs!$I$2:$I$156,"&lt;&gt;")</f>
        <v>21</v>
      </c>
      <c r="N5" s="3" t="n">
        <f aca="false">COUNTIFS(Inputs!$D$2:$D$156,$A5,Inputs!$I$2:$I$156,"",Inputs!$P$2:$P$156,"&lt;&gt;")</f>
        <v>0</v>
      </c>
      <c r="O5" s="3" t="n">
        <f aca="false">COUNTIFS(Inputs!$D$2:$D$156,$A5)</f>
        <v>21</v>
      </c>
    </row>
    <row r="6" customFormat="false" ht="15" hidden="false" customHeight="true" outlineLevel="0" collapsed="false">
      <c r="A6" s="2" t="s">
        <v>70</v>
      </c>
      <c r="B6" s="3" t="str">
        <f aca="false">IF((COUNTIFS(Inputs!$Q$2:$Q$156,"A05|"&amp;$A6,Inputs!$I$2:$I$156,"&lt;&gt;"))*(COUNTIFS(Inputs!$Q$2:$Q$156,"A06|"&amp;$A6,Inputs!$I$2:$I$156,"&lt;&gt;"))*(COUNTIFS(Inputs!$Q$2:$Q$156,"A08|"&amp;$A6,Inputs!$I$2:$I$156,"&lt;&gt;"))=0,"PENDING",IF(ABS(SUMIFS(Inputs!$J$2:$J$156,Inputs!$Q$2:$Q$156,"A05|"&amp;$A6)-SUMIFS(Inputs!$J$2:$J$156,Inputs!$Q$2:$Q$156,"A06|"&amp;$A6)-SUMIFS(Inputs!$J$2:$J$156,Inputs!$Q$2:$Q$156,"A08|"&amp;$A6))&lt;=2,"OK","CHECK"))</f>
        <v>OK</v>
      </c>
      <c r="C6" s="3" t="str">
        <f aca="false">IF((COUNTIFS(Inputs!$Q$2:$Q$156,"A05|"&amp;$A6,Inputs!$I$2:$I$156,"&lt;&gt;"))*(COUNTIFS(Inputs!$Q$2:$Q$156,"A06|"&amp;$A6,Inputs!$I$2:$I$156,"&lt;&gt;"))*(COUNTIFS(Inputs!$Q$2:$Q$156,"A07|"&amp;$A6,Inputs!$I$2:$I$156,"&lt;&gt;"))=0,"PENDING",IF(ABS(SUMIFS(Inputs!$J$2:$J$156,Inputs!$Q$2:$Q$156,"A06|"&amp;$A6)/SUMIFS(Inputs!$J$2:$J$156,Inputs!$Q$2:$Q$156,"A05|"&amp;$A6)*100-SUMIFS(Inputs!$J$2:$J$156,Inputs!$Q$2:$Q$156,"A07|"&amp;$A6))&lt;=0.2,"OK","CHECK"))</f>
        <v>OK</v>
      </c>
      <c r="D6" s="3" t="str">
        <f aca="false">IF((COUNTIFS(Inputs!$Q$2:$Q$156,"A12|"&amp;$A6,Inputs!$I$2:$I$156,"&lt;&gt;"))*(COUNTIFS(Inputs!$Q$2:$Q$156,"A09|"&amp;$A6,Inputs!$I$2:$I$156,"&lt;&gt;"))*(COUNTIFS(Inputs!$Q$2:$Q$156,"A11|"&amp;$A6,Inputs!$I$2:$I$156,"&lt;&gt;"))=0,"PENDING",IF(ABS(SUMIFS(Inputs!$J$2:$J$156,Inputs!$Q$2:$Q$156,"A12|"&amp;$A6)-SUMIFS(Inputs!$J$2:$J$156,Inputs!$Q$2:$Q$156,"A09|"&amp;$A6)-SUMIFS(Inputs!$J$2:$J$156,Inputs!$Q$2:$Q$156,"A11|"&amp;$A6))&lt;=2,"OK","CHECK"))</f>
        <v>OK</v>
      </c>
      <c r="E6" s="3" t="str">
        <f aca="false">IF((COUNTIFS(Inputs!$Q$2:$Q$156,"A03|"&amp;$A6,Inputs!$I$2:$I$156,"&lt;&gt;"))*(COUNTIFS(Inputs!$Q$2:$Q$156,"A02|"&amp;$A6,Inputs!$I$2:$I$156,"&lt;&gt;"))*(COUNTIFS(Inputs!$Q$2:$Q$156,"A12|"&amp;$A6,Inputs!$I$2:$I$156,"&lt;&gt;"))=0,"PENDING",IF(ABS(SUMIFS(Inputs!$J$2:$J$156,Inputs!$Q$2:$Q$156,"A03|"&amp;$A6)-SUMIFS(Inputs!$J$2:$J$156,Inputs!$Q$2:$Q$156,"A02|"&amp;$A6)-SUMIFS(Inputs!$J$2:$J$156,Inputs!$Q$2:$Q$156,"A12|"&amp;$A6))&lt;=60,"OK","CHECK"))</f>
        <v>OK</v>
      </c>
      <c r="F6" s="3" t="str">
        <f aca="false">IF((COUNTIFS(Inputs!$Q$2:$Q$156,"A03|"&amp;$A6,Inputs!$I$2:$I$156,"&lt;&gt;"))*(COUNTIFS(Inputs!$Q$2:$Q$156,"A01|"&amp;$A6,Inputs!$I$2:$I$156,"&lt;&gt;"))*(COUNTIFS(Inputs!$Q$2:$Q$156,"A04|"&amp;$A6,Inputs!$I$2:$I$156,"&lt;&gt;"))=0,"PENDING",IF(ABS(SUMIFS(Inputs!$J$2:$J$156,Inputs!$Q$2:$Q$156,"A03|"&amp;$A6)/SUMIFS(Inputs!$J$2:$J$156,Inputs!$Q$2:$Q$156,"A01|"&amp;$A6)*100-SUMIFS(Inputs!$J$2:$J$156,Inputs!$Q$2:$Q$156,"A04|"&amp;$A6))&lt;=0.15,"OK","CHECK"))</f>
        <v>OK</v>
      </c>
      <c r="G6" s="3" t="str">
        <f aca="false">IF((COUNTIFS(Inputs!$Q$2:$Q$156,"A01|"&amp;$A6,Inputs!$I$2:$I$156,"&lt;&gt;"))*(COUNTIFS(Inputs!$Q$2:$Q$156,"O06|"&amp;$A6,Inputs!$I$2:$I$156,"&lt;&gt;"))=0,IF(COUNTIFS(Inputs!$Q$2:$Q$156,"O06|"&amp;$A6,Inputs!$I$2:$I$156,"",Inputs!$P$2:$P$156,"&lt;&gt;")&gt;0,"N/A (blank - see Inputs note)","PENDING"),IF(ABS(SUMIFS(Inputs!$J$2:$J$156,Inputs!$Q$2:$Q$156,"A01|"&amp;$A6)*1000/INDEX(FS_Reference!$D$2:$D$10,MATCH($A6,FS_Reference!$A$2:$A$10,0))-SUMIFS(Inputs!$J$2:$J$156,Inputs!$Q$2:$Q$156,"O06|"&amp;$A6))&lt;=1.5,"OK","CHECK"))</f>
        <v>OK</v>
      </c>
      <c r="H6" s="3" t="str">
        <f aca="false">IF((COUNTIFS(Inputs!$Q$2:$Q$156,"B01|"&amp;$A6,Inputs!$I$2:$I$156,"&lt;&gt;"))*(COUNTIFS(Inputs!$Q$2:$Q$156,"B02|"&amp;$A6,Inputs!$I$2:$I$156,"&lt;&gt;"))*(COUNTIFS(Inputs!$Q$2:$Q$156,"B03|"&amp;$A6,Inputs!$I$2:$I$156,"&lt;&gt;"))*(COUNTIFS(Inputs!$Q$2:$Q$156,"B04|"&amp;$A6,Inputs!$I$2:$I$156,"&lt;&gt;"))=0,"PENDING",IF(ABS(INDEX(FS_Reference!$C$2:$C$10,MATCH("H1_2024",FS_Reference!$A$2:$A$10,0))+SUMIFS(Inputs!$J$2:$J$156,Inputs!$Q$2:$Q$156,"B01|"&amp;$A6)+SUMIFS(Inputs!$J$2:$J$156,Inputs!$Q$2:$Q$156,"B02|"&amp;$A6)+SUMIFS(Inputs!$J$2:$J$156,Inputs!$Q$2:$Q$156,"B03|"&amp;$A6)+SUMIFS(Inputs!$J$2:$J$156,Inputs!$Q$2:$Q$156,"B04|"&amp;$A6)-INDEX(FS_Reference!$C$2:$C$10,MATCH($A6,FS_Reference!$A$2:$A$10,0)))&lt;=$L6,"OK","CHECK"))</f>
        <v>OK</v>
      </c>
      <c r="I6" s="3" t="str">
        <f aca="false">IF(COUNTIFS(Inputs!$Q$2:$Q$156,"B03|"&amp;$A6,Inputs!$I$2:$I$156,"&lt;&gt;")=0,"PENDING",IF(ABS(INDEX(FS_Reference!$H$2:$H$10,MATCH($A6,FS_Reference!$A$2:$A$10,0))-INDEX(FS_Reference!$H$2:$H$10,MATCH("H1_2024",FS_Reference!$A$2:$A$10,0))-SUMIFS(Inputs!$J$2:$J$156,Inputs!$Q$2:$Q$156,"B03|"&amp;$A6))&lt;=$L6/2,"OK","CHECK"))</f>
        <v>OK</v>
      </c>
      <c r="J6" s="3" t="str">
        <f aca="false">IF(COUNTIFS(Inputs!$Q$2:$Q$156,"B04|"&amp;$A6,Inputs!$I$2:$I$156,"&lt;&gt;")=0,"PENDING",IF(ABS(INDEX(FS_Reference!$I$2:$I$10,MATCH($A6,FS_Reference!$A$2:$A$10,0))-INDEX(FS_Reference!$I$2:$I$10,MATCH("H1_2024",FS_Reference!$A$2:$A$10,0))-SUMIFS(Inputs!$J$2:$J$156,Inputs!$Q$2:$Q$156,"B04|"&amp;$A6))&lt;=$L6/2,"OK","CHECK"))</f>
        <v>OK</v>
      </c>
      <c r="K6" s="3" t="str">
        <f aca="false">IF((COUNTIFS(Inputs!$Q$2:$Q$156,"B01|"&amp;$A6,Inputs!$I$2:$I$156,"&lt;&gt;"))*(COUNTIFS(Inputs!$Q$2:$Q$156,"B02|"&amp;$A6,Inputs!$I$2:$I$156,"&lt;&gt;"))=0,"PENDING",IF(ABS(INDEX(FS_Reference!$G$2:$G$10,MATCH($A6,FS_Reference!$A$2:$A$10,0))-INDEX(FS_Reference!$G$2:$G$10,MATCH("H1_2024",FS_Reference!$A$2:$A$10,0))-SUMIFS(Inputs!$J$2:$J$156,Inputs!$Q$2:$Q$156,"B01|"&amp;$A6)-SUMIFS(Inputs!$J$2:$J$156,Inputs!$Q$2:$Q$156,"B02|"&amp;$A6))&lt;=$L6,"OK","CHECK"))</f>
        <v>OK</v>
      </c>
      <c r="L6" s="3" t="n">
        <v>50</v>
      </c>
      <c r="M6" s="3" t="n">
        <f aca="false">COUNTIFS(Inputs!$D$2:$D$156,$A6,Inputs!$I$2:$I$156,"&lt;&gt;")</f>
        <v>25</v>
      </c>
      <c r="N6" s="3" t="n">
        <f aca="false">COUNTIFS(Inputs!$D$2:$D$156,$A6,Inputs!$I$2:$I$156,"",Inputs!$P$2:$P$156,"&lt;&gt;")</f>
        <v>0</v>
      </c>
      <c r="O6" s="3" t="n">
        <f aca="false">COUNTIFS(Inputs!$D$2:$D$156,$A6)</f>
        <v>25</v>
      </c>
    </row>
    <row r="7" customFormat="false" ht="15" hidden="false" customHeight="true" outlineLevel="0" collapsed="false">
      <c r="A7" s="2" t="s">
        <v>75</v>
      </c>
      <c r="B7" s="3" t="str">
        <f aca="false">IF((COUNTIFS(Inputs!$Q$2:$Q$156,"A05|"&amp;$A7,Inputs!$I$2:$I$156,"&lt;&gt;"))*(COUNTIFS(Inputs!$Q$2:$Q$156,"A06|"&amp;$A7,Inputs!$I$2:$I$156,"&lt;&gt;"))*(COUNTIFS(Inputs!$Q$2:$Q$156,"A08|"&amp;$A7,Inputs!$I$2:$I$156,"&lt;&gt;"))=0,"PENDING",IF(ABS(SUMIFS(Inputs!$J$2:$J$156,Inputs!$Q$2:$Q$156,"A05|"&amp;$A7)-SUMIFS(Inputs!$J$2:$J$156,Inputs!$Q$2:$Q$156,"A06|"&amp;$A7)-SUMIFS(Inputs!$J$2:$J$156,Inputs!$Q$2:$Q$156,"A08|"&amp;$A7))&lt;=2,"OK","CHECK"))</f>
        <v>OK</v>
      </c>
      <c r="C7" s="3" t="str">
        <f aca="false">IF((COUNTIFS(Inputs!$Q$2:$Q$156,"A05|"&amp;$A7,Inputs!$I$2:$I$156,"&lt;&gt;"))*(COUNTIFS(Inputs!$Q$2:$Q$156,"A06|"&amp;$A7,Inputs!$I$2:$I$156,"&lt;&gt;"))*(COUNTIFS(Inputs!$Q$2:$Q$156,"A07|"&amp;$A7,Inputs!$I$2:$I$156,"&lt;&gt;"))=0,"PENDING",IF(ABS(SUMIFS(Inputs!$J$2:$J$156,Inputs!$Q$2:$Q$156,"A06|"&amp;$A7)/SUMIFS(Inputs!$J$2:$J$156,Inputs!$Q$2:$Q$156,"A05|"&amp;$A7)*100-SUMIFS(Inputs!$J$2:$J$156,Inputs!$Q$2:$Q$156,"A07|"&amp;$A7))&lt;=0.2,"OK","CHECK"))</f>
        <v>OK</v>
      </c>
      <c r="D7" s="3" t="str">
        <f aca="false">IF((COUNTIFS(Inputs!$Q$2:$Q$156,"A12|"&amp;$A7,Inputs!$I$2:$I$156,"&lt;&gt;"))*(COUNTIFS(Inputs!$Q$2:$Q$156,"A09|"&amp;$A7,Inputs!$I$2:$I$156,"&lt;&gt;"))*(COUNTIFS(Inputs!$Q$2:$Q$156,"A11|"&amp;$A7,Inputs!$I$2:$I$156,"&lt;&gt;"))=0,"PENDING",IF(ABS(SUMIFS(Inputs!$J$2:$J$156,Inputs!$Q$2:$Q$156,"A12|"&amp;$A7)-SUMIFS(Inputs!$J$2:$J$156,Inputs!$Q$2:$Q$156,"A09|"&amp;$A7)-SUMIFS(Inputs!$J$2:$J$156,Inputs!$Q$2:$Q$156,"A11|"&amp;$A7))&lt;=2,"OK","CHECK"))</f>
        <v>OK</v>
      </c>
      <c r="E7" s="3" t="str">
        <f aca="false">IF((COUNTIFS(Inputs!$Q$2:$Q$156,"A03|"&amp;$A7,Inputs!$I$2:$I$156,"&lt;&gt;"))*(COUNTIFS(Inputs!$Q$2:$Q$156,"A02|"&amp;$A7,Inputs!$I$2:$I$156,"&lt;&gt;"))*(COUNTIFS(Inputs!$Q$2:$Q$156,"A12|"&amp;$A7,Inputs!$I$2:$I$156,"&lt;&gt;"))=0,"PENDING",IF(ABS(SUMIFS(Inputs!$J$2:$J$156,Inputs!$Q$2:$Q$156,"A03|"&amp;$A7)-SUMIFS(Inputs!$J$2:$J$156,Inputs!$Q$2:$Q$156,"A02|"&amp;$A7)-SUMIFS(Inputs!$J$2:$J$156,Inputs!$Q$2:$Q$156,"A12|"&amp;$A7))&lt;=60,"OK","CHECK"))</f>
        <v>OK</v>
      </c>
      <c r="F7" s="3" t="str">
        <f aca="false">IF((COUNTIFS(Inputs!$Q$2:$Q$156,"A03|"&amp;$A7,Inputs!$I$2:$I$156,"&lt;&gt;"))*(COUNTIFS(Inputs!$Q$2:$Q$156,"A01|"&amp;$A7,Inputs!$I$2:$I$156,"&lt;&gt;"))*(COUNTIFS(Inputs!$Q$2:$Q$156,"A04|"&amp;$A7,Inputs!$I$2:$I$156,"&lt;&gt;"))=0,"PENDING",IF(ABS(SUMIFS(Inputs!$J$2:$J$156,Inputs!$Q$2:$Q$156,"A03|"&amp;$A7)/SUMIFS(Inputs!$J$2:$J$156,Inputs!$Q$2:$Q$156,"A01|"&amp;$A7)*100-SUMIFS(Inputs!$J$2:$J$156,Inputs!$Q$2:$Q$156,"A04|"&amp;$A7))&lt;=0.15,"OK","CHECK"))</f>
        <v>OK</v>
      </c>
      <c r="G7" s="3" t="str">
        <f aca="false">IF((COUNTIFS(Inputs!$Q$2:$Q$156,"A01|"&amp;$A7,Inputs!$I$2:$I$156,"&lt;&gt;"))*(COUNTIFS(Inputs!$Q$2:$Q$156,"O06|"&amp;$A7,Inputs!$I$2:$I$156,"&lt;&gt;"))=0,IF(COUNTIFS(Inputs!$Q$2:$Q$156,"O06|"&amp;$A7,Inputs!$I$2:$I$156,"",Inputs!$P$2:$P$156,"&lt;&gt;")&gt;0,"N/A (blank - see Inputs note)","PENDING"),IF(ABS(SUMIFS(Inputs!$J$2:$J$156,Inputs!$Q$2:$Q$156,"A01|"&amp;$A7)*1000/INDEX(FS_Reference!$D$2:$D$10,MATCH($A7,FS_Reference!$A$2:$A$10,0))-SUMIFS(Inputs!$J$2:$J$156,Inputs!$Q$2:$Q$156,"O06|"&amp;$A7))&lt;=1.5,"OK","CHECK"))</f>
        <v>OK</v>
      </c>
      <c r="H7" s="3" t="str">
        <f aca="false">IF((COUNTIFS(Inputs!$Q$2:$Q$156,"B01|"&amp;$A7,Inputs!$I$2:$I$156,"&lt;&gt;"))*(COUNTIFS(Inputs!$Q$2:$Q$156,"B02|"&amp;$A7,Inputs!$I$2:$I$156,"&lt;&gt;"))*(COUNTIFS(Inputs!$Q$2:$Q$156,"B03|"&amp;$A7,Inputs!$I$2:$I$156,"&lt;&gt;"))*(COUNTIFS(Inputs!$Q$2:$Q$156,"B04|"&amp;$A7,Inputs!$I$2:$I$156,"&lt;&gt;"))=0,"PENDING",IF(ABS(INDEX(FS_Reference!$C$2:$C$10,MATCH("FY_2024",FS_Reference!$A$2:$A$10,0))+SUMIFS(Inputs!$J$2:$J$156,Inputs!$Q$2:$Q$156,"B01|"&amp;$A7)+SUMIFS(Inputs!$J$2:$J$156,Inputs!$Q$2:$Q$156,"B02|"&amp;$A7)+SUMIFS(Inputs!$J$2:$J$156,Inputs!$Q$2:$Q$156,"B03|"&amp;$A7)+SUMIFS(Inputs!$J$2:$J$156,Inputs!$Q$2:$Q$156,"B04|"&amp;$A7)-INDEX(FS_Reference!$C$2:$C$10,MATCH($A7,FS_Reference!$A$2:$A$10,0)))&lt;=$L7,"OK","CHECK"))</f>
        <v>OK</v>
      </c>
      <c r="I7" s="3" t="str">
        <f aca="false">IF(COUNTIFS(Inputs!$Q$2:$Q$156,"B03|"&amp;$A7,Inputs!$I$2:$I$156,"&lt;&gt;")=0,"PENDING",IF(ABS(INDEX(FS_Reference!$H$2:$H$10,MATCH($A7,FS_Reference!$A$2:$A$10,0))-INDEX(FS_Reference!$H$2:$H$10,MATCH("FY_2024",FS_Reference!$A$2:$A$10,0))-SUMIFS(Inputs!$J$2:$J$156,Inputs!$Q$2:$Q$156,"B03|"&amp;$A7))&lt;=$L7/2,"OK","CHECK"))</f>
        <v>OK</v>
      </c>
      <c r="J7" s="3" t="str">
        <f aca="false">IF(COUNTIFS(Inputs!$Q$2:$Q$156,"B04|"&amp;$A7,Inputs!$I$2:$I$156,"&lt;&gt;")=0,"PENDING",IF(ABS(INDEX(FS_Reference!$I$2:$I$10,MATCH($A7,FS_Reference!$A$2:$A$10,0))-INDEX(FS_Reference!$I$2:$I$10,MATCH("FY_2024",FS_Reference!$A$2:$A$10,0))-SUMIFS(Inputs!$J$2:$J$156,Inputs!$Q$2:$Q$156,"B04|"&amp;$A7))&lt;=$L7/2,"OK","CHECK"))</f>
        <v>OK</v>
      </c>
      <c r="K7" s="3" t="str">
        <f aca="false">IF((COUNTIFS(Inputs!$Q$2:$Q$156,"B01|"&amp;$A7,Inputs!$I$2:$I$156,"&lt;&gt;"))*(COUNTIFS(Inputs!$Q$2:$Q$156,"B02|"&amp;$A7,Inputs!$I$2:$I$156,"&lt;&gt;"))=0,"PENDING",IF(ABS(INDEX(FS_Reference!$G$2:$G$10,MATCH($A7,FS_Reference!$A$2:$A$10,0))-INDEX(FS_Reference!$G$2:$G$10,MATCH("FY_2024",FS_Reference!$A$2:$A$10,0))-SUMIFS(Inputs!$J$2:$J$156,Inputs!$Q$2:$Q$156,"B01|"&amp;$A7)-SUMIFS(Inputs!$J$2:$J$156,Inputs!$Q$2:$Q$156,"B02|"&amp;$A7))&lt;=$L7,"OK","CHECK"))</f>
        <v>OK</v>
      </c>
      <c r="L7" s="3" t="n">
        <v>50</v>
      </c>
      <c r="M7" s="3" t="n">
        <f aca="false">COUNTIFS(Inputs!$D$2:$D$156,$A7,Inputs!$I$2:$I$156,"&lt;&gt;")</f>
        <v>25</v>
      </c>
      <c r="N7" s="3" t="n">
        <f aca="false">COUNTIFS(Inputs!$D$2:$D$156,$A7,Inputs!$I$2:$I$156,"",Inputs!$P$2:$P$156,"&lt;&gt;")</f>
        <v>1</v>
      </c>
      <c r="O7" s="3" t="n">
        <f aca="false">COUNTIFS(Inputs!$D$2:$D$156,$A7)</f>
        <v>26</v>
      </c>
    </row>
    <row r="8" customFormat="false" ht="15" hidden="false" customHeight="true" outlineLevel="0" collapsed="false">
      <c r="A8" s="2" t="s">
        <v>79</v>
      </c>
      <c r="B8" s="3" t="str">
        <f aca="false">IF((COUNTIFS(Inputs!$Q$2:$Q$156,"A05|"&amp;$A8,Inputs!$I$2:$I$156,"&lt;&gt;"))*(COUNTIFS(Inputs!$Q$2:$Q$156,"A06|"&amp;$A8,Inputs!$I$2:$I$156,"&lt;&gt;"))*(COUNTIFS(Inputs!$Q$2:$Q$156,"A08|"&amp;$A8,Inputs!$I$2:$I$156,"&lt;&gt;"))=0,"PENDING",IF(ABS(SUMIFS(Inputs!$J$2:$J$156,Inputs!$Q$2:$Q$156,"A05|"&amp;$A8)-SUMIFS(Inputs!$J$2:$J$156,Inputs!$Q$2:$Q$156,"A06|"&amp;$A8)-SUMIFS(Inputs!$J$2:$J$156,Inputs!$Q$2:$Q$156,"A08|"&amp;$A8))&lt;=2,"OK","CHECK"))</f>
        <v>OK</v>
      </c>
      <c r="C8" s="3" t="str">
        <f aca="false">IF((COUNTIFS(Inputs!$Q$2:$Q$156,"A05|"&amp;$A8,Inputs!$I$2:$I$156,"&lt;&gt;"))*(COUNTIFS(Inputs!$Q$2:$Q$156,"A06|"&amp;$A8,Inputs!$I$2:$I$156,"&lt;&gt;"))*(COUNTIFS(Inputs!$Q$2:$Q$156,"A07|"&amp;$A8,Inputs!$I$2:$I$156,"&lt;&gt;"))=0,"PENDING",IF(ABS(SUMIFS(Inputs!$J$2:$J$156,Inputs!$Q$2:$Q$156,"A06|"&amp;$A8)/SUMIFS(Inputs!$J$2:$J$156,Inputs!$Q$2:$Q$156,"A05|"&amp;$A8)*100-SUMIFS(Inputs!$J$2:$J$156,Inputs!$Q$2:$Q$156,"A07|"&amp;$A8))&lt;=0.2,"OK","CHECK"))</f>
        <v>OK</v>
      </c>
      <c r="D8" s="3" t="str">
        <f aca="false">IF((COUNTIFS(Inputs!$Q$2:$Q$156,"A12|"&amp;$A8,Inputs!$I$2:$I$156,"&lt;&gt;"))*(COUNTIFS(Inputs!$Q$2:$Q$156,"A09|"&amp;$A8,Inputs!$I$2:$I$156,"&lt;&gt;"))*(COUNTIFS(Inputs!$Q$2:$Q$156,"A11|"&amp;$A8,Inputs!$I$2:$I$156,"&lt;&gt;"))=0,"PENDING",IF(ABS(SUMIFS(Inputs!$J$2:$J$156,Inputs!$Q$2:$Q$156,"A12|"&amp;$A8)-SUMIFS(Inputs!$J$2:$J$156,Inputs!$Q$2:$Q$156,"A09|"&amp;$A8)-SUMIFS(Inputs!$J$2:$J$156,Inputs!$Q$2:$Q$156,"A11|"&amp;$A8))&lt;=2,"OK","CHECK"))</f>
        <v>OK</v>
      </c>
      <c r="E8" s="3" t="str">
        <f aca="false">IF((COUNTIFS(Inputs!$Q$2:$Q$156,"A03|"&amp;$A8,Inputs!$I$2:$I$156,"&lt;&gt;"))*(COUNTIFS(Inputs!$Q$2:$Q$156,"A02|"&amp;$A8,Inputs!$I$2:$I$156,"&lt;&gt;"))*(COUNTIFS(Inputs!$Q$2:$Q$156,"A12|"&amp;$A8,Inputs!$I$2:$I$156,"&lt;&gt;"))=0,"PENDING",IF(ABS(SUMIFS(Inputs!$J$2:$J$156,Inputs!$Q$2:$Q$156,"A03|"&amp;$A8)-SUMIFS(Inputs!$J$2:$J$156,Inputs!$Q$2:$Q$156,"A02|"&amp;$A8)-SUMIFS(Inputs!$J$2:$J$156,Inputs!$Q$2:$Q$156,"A12|"&amp;$A8))&lt;=60,"OK","CHECK"))</f>
        <v>OK</v>
      </c>
      <c r="F8" s="3" t="str">
        <f aca="false">IF((COUNTIFS(Inputs!$Q$2:$Q$156,"A03|"&amp;$A8,Inputs!$I$2:$I$156,"&lt;&gt;"))*(COUNTIFS(Inputs!$Q$2:$Q$156,"A01|"&amp;$A8,Inputs!$I$2:$I$156,"&lt;&gt;"))*(COUNTIFS(Inputs!$Q$2:$Q$156,"A04|"&amp;$A8,Inputs!$I$2:$I$156,"&lt;&gt;"))=0,"PENDING",IF(ABS(SUMIFS(Inputs!$J$2:$J$156,Inputs!$Q$2:$Q$156,"A03|"&amp;$A8)/SUMIFS(Inputs!$J$2:$J$156,Inputs!$Q$2:$Q$156,"A01|"&amp;$A8)*100-SUMIFS(Inputs!$J$2:$J$156,Inputs!$Q$2:$Q$156,"A04|"&amp;$A8))&lt;=0.15,"OK","CHECK"))</f>
        <v>OK</v>
      </c>
      <c r="G8" s="3" t="str">
        <f aca="false">IF((COUNTIFS(Inputs!$Q$2:$Q$156,"A01|"&amp;$A8,Inputs!$I$2:$I$156,"&lt;&gt;"))*(COUNTIFS(Inputs!$Q$2:$Q$156,"O06|"&amp;$A8,Inputs!$I$2:$I$156,"&lt;&gt;"))=0,IF(COUNTIFS(Inputs!$Q$2:$Q$156,"O06|"&amp;$A8,Inputs!$I$2:$I$156,"",Inputs!$P$2:$P$156,"&lt;&gt;")&gt;0,"N/A (blank - see Inputs note)","PENDING"),IF(ABS(SUMIFS(Inputs!$J$2:$J$156,Inputs!$Q$2:$Q$156,"A01|"&amp;$A8)*1000/INDEX(FS_Reference!$D$2:$D$10,MATCH($A8,FS_Reference!$A$2:$A$10,0))-SUMIFS(Inputs!$J$2:$J$156,Inputs!$Q$2:$Q$156,"O06|"&amp;$A8))&lt;=1.5,"OK","CHECK"))</f>
        <v>OK</v>
      </c>
      <c r="H8" s="3" t="str">
        <f aca="false">IF((COUNTIFS(Inputs!$Q$2:$Q$156,"B01|"&amp;$A8,Inputs!$I$2:$I$156,"&lt;&gt;"))*(COUNTIFS(Inputs!$Q$2:$Q$156,"B02|"&amp;$A8,Inputs!$I$2:$I$156,"&lt;&gt;"))*(COUNTIFS(Inputs!$Q$2:$Q$156,"B03|"&amp;$A8,Inputs!$I$2:$I$156,"&lt;&gt;"))*(COUNTIFS(Inputs!$Q$2:$Q$156,"B04|"&amp;$A8,Inputs!$I$2:$I$156,"&lt;&gt;"))=0,"PENDING",IF(ABS(INDEX(FS_Reference!$C$2:$C$10,MATCH("H1_2025",FS_Reference!$A$2:$A$10,0))+SUMIFS(Inputs!$J$2:$J$156,Inputs!$Q$2:$Q$156,"B01|"&amp;$A8)+SUMIFS(Inputs!$J$2:$J$156,Inputs!$Q$2:$Q$156,"B02|"&amp;$A8)+SUMIFS(Inputs!$J$2:$J$156,Inputs!$Q$2:$Q$156,"B03|"&amp;$A8)+SUMIFS(Inputs!$J$2:$J$156,Inputs!$Q$2:$Q$156,"B04|"&amp;$A8)-INDEX(FS_Reference!$C$2:$C$10,MATCH($A8,FS_Reference!$A$2:$A$10,0)))&lt;=$L8,"OK","CHECK"))</f>
        <v>OK</v>
      </c>
      <c r="I8" s="3" t="str">
        <f aca="false">IF(COUNTIFS(Inputs!$Q$2:$Q$156,"B03|"&amp;$A8,Inputs!$I$2:$I$156,"&lt;&gt;")=0,"PENDING",IF(ABS(INDEX(FS_Reference!$H$2:$H$10,MATCH($A8,FS_Reference!$A$2:$A$10,0))-INDEX(FS_Reference!$H$2:$H$10,MATCH("H1_2025",FS_Reference!$A$2:$A$10,0))-SUMIFS(Inputs!$J$2:$J$156,Inputs!$Q$2:$Q$156,"B03|"&amp;$A8))&lt;=$L8/2,"OK","CHECK"))</f>
        <v>OK</v>
      </c>
      <c r="J8" s="3" t="str">
        <f aca="false">IF(COUNTIFS(Inputs!$Q$2:$Q$156,"B04|"&amp;$A8,Inputs!$I$2:$I$156,"&lt;&gt;")=0,"PENDING",IF(ABS(INDEX(FS_Reference!$I$2:$I$10,MATCH($A8,FS_Reference!$A$2:$A$10,0))-INDEX(FS_Reference!$I$2:$I$10,MATCH("H1_2025",FS_Reference!$A$2:$A$10,0))-SUMIFS(Inputs!$J$2:$J$156,Inputs!$Q$2:$Q$156,"B04|"&amp;$A8))&lt;=$L8/2,"OK","CHECK"))</f>
        <v>OK</v>
      </c>
      <c r="K8" s="3" t="str">
        <f aca="false">IF((COUNTIFS(Inputs!$Q$2:$Q$156,"B01|"&amp;$A8,Inputs!$I$2:$I$156,"&lt;&gt;"))*(COUNTIFS(Inputs!$Q$2:$Q$156,"B02|"&amp;$A8,Inputs!$I$2:$I$156,"&lt;&gt;"))=0,"PENDING",IF(ABS(INDEX(FS_Reference!$G$2:$G$10,MATCH($A8,FS_Reference!$A$2:$A$10,0))-INDEX(FS_Reference!$G$2:$G$10,MATCH("H1_2025",FS_Reference!$A$2:$A$10,0))-SUMIFS(Inputs!$J$2:$J$156,Inputs!$Q$2:$Q$156,"B01|"&amp;$A8)-SUMIFS(Inputs!$J$2:$J$156,Inputs!$Q$2:$Q$156,"B02|"&amp;$A8))&lt;=$L8,"OK","CHECK"))</f>
        <v>OK</v>
      </c>
      <c r="L8" s="3" t="n">
        <v>50</v>
      </c>
      <c r="M8" s="3" t="n">
        <f aca="false">COUNTIFS(Inputs!$D$2:$D$156,$A8,Inputs!$I$2:$I$156,"&lt;&gt;")</f>
        <v>25</v>
      </c>
      <c r="N8" s="3" t="n">
        <f aca="false">COUNTIFS(Inputs!$D$2:$D$156,$A8,Inputs!$I$2:$I$156,"",Inputs!$P$2:$P$156,"&lt;&gt;")</f>
        <v>0</v>
      </c>
      <c r="O8" s="3" t="n">
        <f aca="false">COUNTIFS(Inputs!$D$2:$D$156,$A8)</f>
        <v>25</v>
      </c>
    </row>
    <row r="10" customFormat="false" ht="15" hidden="false" customHeight="true" outlineLevel="0" collapsed="false">
      <c r="A10" s="2" t="s">
        <v>439</v>
      </c>
      <c r="M10" s="2" t="n">
        <f aca="false">SUM(M2:M8)</f>
        <v>154</v>
      </c>
      <c r="N10" s="2" t="n">
        <f aca="false">SUM(N2:N8)</f>
        <v>1</v>
      </c>
      <c r="O10" s="2" t="n">
        <f aca="false">SUM(O2:O8)</f>
        <v>155</v>
      </c>
    </row>
    <row r="12" customFormat="false" ht="15" hidden="false" customHeight="true" outlineLevel="0" collapsed="false">
      <c r="A12" s="2" t="s">
        <v>440</v>
      </c>
    </row>
    <row r="13" customFormat="false" ht="15" hidden="false" customHeight="true" outlineLevel="0" collapsed="false">
      <c r="A13" s="10" t="s">
        <v>52</v>
      </c>
      <c r="B13" s="10" t="n">
        <f aca="false">COUNTIF(Inputs!$O$2:$O$156,"Y")</f>
        <v>151</v>
      </c>
    </row>
    <row r="14" customFormat="false" ht="15" hidden="false" customHeight="true" outlineLevel="0" collapsed="false">
      <c r="A14" s="10" t="s">
        <v>160</v>
      </c>
      <c r="B14" s="10" t="n">
        <f aca="false">COUNTIF(Inputs!$O$2:$O$156,"N")</f>
        <v>3</v>
      </c>
    </row>
    <row r="15" customFormat="false" ht="15" hidden="false" customHeight="true" outlineLevel="0" collapsed="false">
      <c r="A15" s="10" t="s">
        <v>258</v>
      </c>
      <c r="B15" s="10" t="n">
        <f aca="false">COUNTIF(Inputs!$O$2:$O$156,"N/A")</f>
        <v>1</v>
      </c>
    </row>
    <row r="16" customFormat="false" ht="15" hidden="false" customHeight="true" outlineLevel="0" collapsed="false">
      <c r="A16" s="10" t="s">
        <v>439</v>
      </c>
      <c r="B16" s="10" t="n">
        <f aca="false">SUM(B13:B15)</f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2026-09-28T17:23:50Z</dcterms:created>
  <dc:creator>openpyxl</dc:creator>
  <dc:description/>
  <dc:language>en-US</dc:language>
  <cp:lastModifiedBy/>
  <dcterms:modified xsi:type="dcterms:W3CDTF">2026-10-15T23:30:52Z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